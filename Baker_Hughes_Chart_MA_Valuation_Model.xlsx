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e1430b4fc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 Summary" sheetId="1" r:id="R357b246d0d2f4ceb"/>
    <x:sheet xmlns:r="http://schemas.openxmlformats.org/officeDocument/2006/relationships" name="Model Inputs" sheetId="2" r:id="R0cc9c9af6d434a52"/>
    <x:sheet xmlns:r="http://schemas.openxmlformats.org/officeDocument/2006/relationships" name="DCF" sheetId="3" r:id="R2f2d75ca89214501"/>
    <x:sheet xmlns:r="http://schemas.openxmlformats.org/officeDocument/2006/relationships" name="Valuation" sheetId="4" r:id="R0a7eb1131d1e48fc"/>
    <x:sheet xmlns:r="http://schemas.openxmlformats.org/officeDocument/2006/relationships" name="Merger Consequences" sheetId="5" r:id="Rfca91ccc092f490d"/>
    <x:sheet xmlns:r="http://schemas.openxmlformats.org/officeDocument/2006/relationships" name="Sources" sheetId="6" r:id="Rd3b82c41c7c442f7"/>
    <x:sheet xmlns:r="http://schemas.openxmlformats.org/officeDocument/2006/relationships" name="QA Checks" sheetId="7" r:id="Rec5534bf2783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0.00"/>
    <x:numFmt numFmtId="201" formatCode="$#,##0;[Red]($#,##0);-"/>
    <x:numFmt numFmtId="202" formatCode="0.0%;[Red](0.0%);-"/>
    <x:numFmt numFmtId="203" formatCode="0.0x"/>
    <x:numFmt numFmtId="204" formatCode="$#,##0.0;[Red]($#,##0.0);-"/>
    <x:numFmt numFmtId="205" formatCode="0.0"/>
    <x:numFmt numFmtId="206" formatCode="0.000x"/>
    <x:numFmt numFmtId="207" formatCode="#,##0.0;[Red](#,##0.0);-"/>
  </x:numFmts>
  <x:fonts count="1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  <x:font>
      <x:i/>
      <x:sz val="9"/>
      <x:color rgb="FF666666"/>
      <x:name val="Carlito"/>
    </x:font>
    <x:font>
      <x:b/>
      <x:sz val="10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b/>
      <x:sz val="9"/>
      <x:color rgb="FF666666"/>
      <x:name val="Carlito"/>
    </x:font>
    <x:font>
      <x:sz val="9"/>
      <x:color rgb="FF666666"/>
      <x:name val="Carlito"/>
    </x:font>
    <x:font>
      <x:sz val="11"/>
      <x:color rgb="FF008000"/>
      <x:name val="Carlito"/>
    </x:font>
    <x:font>
      <x:sz val="11"/>
      <x:color rgb="FF666666"/>
      <x:name val="Carlito"/>
    </x:font>
    <x:font>
      <x:i/>
      <x:sz val="11"/>
      <x:color rgb="FF666666"/>
      <x:name val="Carlito"/>
    </x:font>
    <x:font>
      <x:b/>
      <x:sz val="16"/>
      <x:color rgb="FFFFFFFF"/>
      <x:name val="Carlito"/>
    </x:font>
    <x:font>
      <x:sz val="10"/>
      <x:color rgb="FF000000"/>
      <x:name val="Carlito"/>
    </x:font>
    <x:font>
      <x:sz val="9"/>
      <x:color rgb="FF44444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/>
    <x:xf numFmtId="200" fontId="8" fillId="2" borderId="0" xfId="0" applyNumberFormat="1" applyFont="1" applyFill="1" applyBorder="1" applyAlignment="1">
      <x:alignment horizontal="center" vertical="center" wrapText="1"/>
    </x:xf>
    <x:xf numFmtId="200" fontId="8" fillId="2" borderId="1" xfId="0" applyNumberFormat="1" applyFont="1" applyFill="1" applyBorder="1" applyAlignment="1">
      <x:alignment horizontal="center" vertical="center" wrapText="1"/>
    </x:xf>
    <x:xf numFmtId="201" fontId="9" fillId="0" borderId="0" xfId="0" applyNumberFormat="1" applyFont="1" applyFill="1" applyBorder="1"/>
    <x:xf numFmtId="201" fontId="9" fillId="0" borderId="1" xfId="0" applyNumberFormat="1" applyFont="1" applyFill="1" applyBorder="1"/>
    <x:xf numFmtId="202" fontId="9" fillId="0" borderId="0" xfId="0" applyNumberFormat="1" applyFont="1" applyFill="1" applyBorder="1"/>
    <x:xf numFmtId="202" fontId="9" fillId="0" borderId="1" xfId="0" applyNumberFormat="1" applyFont="1" applyFill="1" applyBorder="1"/>
    <x:xf numFmtId="203" fontId="9" fillId="0" borderId="0" xfId="0" applyNumberFormat="1" applyFont="1" applyFill="1" applyBorder="1"/>
    <x:xf numFmtId="203" fontId="9" fillId="0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/>
    <x:xf numFmtId="204" fontId="9" fillId="0" borderId="0" xfId="0" applyNumberFormat="1" applyFont="1" applyFill="1" applyBorder="1"/>
    <x:xf numFmtId="204" fontId="9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5" fontId="7" fillId="0" borderId="0" xfId="0" applyNumberFormat="1" applyFont="1" applyFill="1" applyBorder="1"/>
    <x:xf numFmtId="205" fontId="7" fillId="0" borderId="1" xfId="0" applyNumberFormat="1" applyFont="1" applyFill="1" applyBorder="1"/>
    <x:xf numFmtId="202" fontId="9" fillId="4" borderId="0" xfId="0" applyNumberFormat="1" applyFont="1" applyFill="1" applyBorder="1"/>
    <x:xf numFmtId="202" fontId="9" fillId="4" borderId="1" xfId="0" applyNumberFormat="1" applyFont="1" applyFill="1" applyBorder="1"/>
    <x:xf numFmtId="203" fontId="9" fillId="4" borderId="0" xfId="0" applyNumberFormat="1" applyFont="1" applyFill="1" applyBorder="1"/>
    <x:xf numFmtId="203" fontId="9" fillId="4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201" fontId="12" fillId="0" borderId="0" xfId="0" applyNumberFormat="1" applyFont="1" applyFill="1" applyBorder="1"/>
    <x:xf numFmtId="201" fontId="12" fillId="0" borderId="1" xfId="0" applyNumberFormat="1" applyFont="1" applyFill="1" applyBorder="1"/>
    <x:xf numFmtId="205" fontId="9" fillId="0" borderId="0" xfId="0" applyNumberFormat="1" applyFont="1" applyFill="1" applyBorder="1"/>
    <x:xf numFmtId="205" fontId="9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7" fillId="0" borderId="0" xfId="0" applyNumberFormat="1" applyFont="1" applyFill="1" applyBorder="1"/>
    <x:xf numFmtId="200" fontId="7" fillId="0" borderId="0" xfId="0" applyNumberFormat="1" applyFont="1" applyFill="1" applyBorder="1"/>
    <x:xf numFmtId="203" fontId="7" fillId="0" borderId="1" xfId="0" applyNumberFormat="1" applyFont="1" applyFill="1" applyBorder="1"/>
    <x:xf numFmtId="200" fontId="7" fillId="0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203" fontId="9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203" fontId="9" fillId="0" borderId="1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3" fontId="7" fillId="0" borderId="1" xfId="0" applyNumberFormat="1" applyFont="1" applyFill="1" applyBorder="1" applyAlignment="1">
      <x:alignment wrapText="1"/>
    </x:xf>
    <x:xf numFmtId="201" fontId="9" fillId="4" borderId="0" xfId="0" applyNumberFormat="1" applyFont="1" applyFill="1" applyBorder="1"/>
    <x:xf numFmtId="201" fontId="9" fillId="4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1" fontId="9" fillId="4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1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202" fontId="9" fillId="0" borderId="1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wrapText="1"/>
    </x:xf>
    <x:xf numFmtId="201" fontId="9" fillId="4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horizontal="left"/>
    </x:xf>
    <x:xf numFmtId="0" fontId="15" fillId="3" borderId="1" xfId="0" applyNumberFormat="1" applyFont="1" applyFill="1" applyBorder="1"/>
    <x:xf numFmtId="0" fontId="15" fillId="3" borderId="1" xfId="0" applyNumberFormat="1" applyFont="1" applyFill="1" applyBorder="1" applyAlignment="1">
      <x:alignment horizontal="left"/>
    </x:xf>
    <x:xf numFmtId="200" fontId="12" fillId="0" borderId="0" xfId="0" applyNumberFormat="1" applyFont="1" applyFill="1" applyBorder="1"/>
    <x:xf numFmtId="202" fontId="12" fillId="0" borderId="0" xfId="0" applyNumberFormat="1" applyFont="1" applyFill="1" applyBorder="1"/>
    <x:xf numFmtId="203" fontId="12" fillId="0" borderId="0" xfId="0" applyNumberFormat="1" applyFont="1" applyFill="1" applyBorder="1"/>
    <x:xf numFmtId="200" fontId="12" fillId="0" borderId="1" xfId="0" applyNumberFormat="1" applyFont="1" applyFill="1" applyBorder="1"/>
    <x:xf numFmtId="202" fontId="12" fillId="0" borderId="1" xfId="0" applyNumberFormat="1" applyFont="1" applyFill="1" applyBorder="1"/>
    <x:xf numFmtId="203" fontId="12" fillId="0" borderId="1" xfId="0" applyNumberFormat="1" applyFont="1" applyFill="1" applyBorder="1"/>
    <x:xf numFmtId="0" fontId="0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wrapText="1"/>
    </x:xf>
    <x:xf numFmtId="0" fontId="17" fillId="0" borderId="1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horizontal="left" wrapText="1"/>
    </x:xf>
    <x:xf numFmtId="200" fontId="12" fillId="0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1"/>
    </x:xf>
    <x:xf numFmtId="202" fontId="12" fillId="0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 applyAlignment="1">
      <x:alignment wrapText="1"/>
    </x:xf>
    <x:xf numFmtId="0" fontId="15" fillId="3" borderId="1" xfId="0" applyNumberFormat="1" applyFont="1" applyFill="1" applyBorder="1" applyAlignment="1">
      <x:alignment horizontal="left" wrapText="1"/>
    </x:xf>
    <x:xf numFmtId="200" fontId="12" fillId="0" borderId="1" xfId="0" applyNumberFormat="1" applyFont="1" applyFill="1" applyBorder="1" applyAlignment="1">
      <x:alignment wrapText="1"/>
    </x:xf>
    <x:xf numFmtId="201" fontId="12" fillId="0" borderId="1" xfId="0" applyNumberFormat="1" applyFont="1" applyFill="1" applyBorder="1" applyAlignment="1">
      <x:alignment wrapText="1"/>
    </x:xf>
    <x:xf numFmtId="202" fontId="12" fillId="0" borderId="1" xfId="0" applyNumberFormat="1" applyFont="1" applyFill="1" applyBorder="1" applyAlignment="1">
      <x:alignment wrapText="1"/>
    </x:xf>
    <x:xf numFmtId="203" fontId="12" fillId="0" borderId="1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 applyAlignment="1">
      <x:alignment vertical="center" wrapText="1"/>
    </x:xf>
    <x:xf numFmtId="201" fontId="12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2" fontId="12" fillId="0" borderId="0" xfId="0" applyNumberFormat="1" applyFont="1" applyFill="1" applyBorder="1" applyAlignment="1">
      <x:alignment vertical="center" wrapText="1"/>
    </x:xf>
    <x:xf numFmtId="203" fontId="12" fillId="0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5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12" fillId="0" borderId="1" xfId="0" applyNumberFormat="1" applyFont="1" applyFill="1" applyBorder="1" applyAlignment="1">
      <x:alignment vertical="center" wrapText="1"/>
    </x:xf>
    <x:xf numFmtId="201" fontId="12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2" fontId="12" fillId="0" borderId="1" xfId="0" applyNumberFormat="1" applyFont="1" applyFill="1" applyBorder="1" applyAlignment="1">
      <x:alignment vertical="center" wrapText="1"/>
    </x:xf>
    <x:xf numFmtId="203" fontId="12" fillId="0" borderId="1" xfId="0" applyNumberFormat="1" applyFont="1" applyFill="1" applyBorder="1" applyAlignment="1">
      <x:alignment vertical="center" wrapText="1"/>
    </x:xf>
    <x:xf numFmtId="0" fontId="16" fillId="5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7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203" fontId="9" fillId="4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vertical="center"/>
    </x:xf>
    <x:xf numFmtId="203" fontId="9" fillId="0" borderId="1" xfId="0" applyNumberFormat="1" applyFont="1" applyFill="1" applyBorder="1" applyAlignment="1">
      <x:alignment vertical="center"/>
    </x:xf>
    <x:xf numFmtId="204" fontId="9" fillId="0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5" fontId="7" fillId="0" borderId="1" xfId="0" applyNumberFormat="1" applyFont="1" applyFill="1" applyBorder="1" applyAlignment="1">
      <x:alignment vertical="center"/>
    </x:xf>
    <x:xf numFmtId="202" fontId="9" fillId="4" borderId="1" xfId="0" applyNumberFormat="1" applyFont="1" applyFill="1" applyBorder="1" applyAlignment="1">
      <x:alignment vertical="center"/>
    </x:xf>
    <x:xf numFmtId="203" fontId="9" fillId="4" borderId="1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1" fontId="12" fillId="0" borderId="1" xfId="0" applyNumberFormat="1" applyFont="1" applyFill="1" applyBorder="1" applyAlignment="1">
      <x:alignment vertical="center"/>
    </x:xf>
    <x:xf numFmtId="205" fontId="9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0" fontId="14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3" fontId="9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203" fontId="9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1"/>
    </x:xf>
    <x:xf numFmtId="201" fontId="9" fillId="4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201" fontId="9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202" fontId="9" fillId="0" borderId="1" xfId="0" applyNumberFormat="1" applyFont="1" applyFill="1" applyBorder="1" applyAlignment="1">
      <x:alignment vertical="center" wrapText="1"/>
    </x:xf>
    <x:xf numFmtId="204" fontId="7" fillId="0" borderId="1" xfId="0" applyNumberFormat="1" applyFont="1" applyFill="1" applyBorder="1" applyAlignment="1">
      <x:alignment vertical="center" wrapText="1"/>
    </x:xf>
    <x:xf numFmtId="201" fontId="9" fillId="4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7" fontId="7" fillId="0" borderId="0" xfId="0" applyNumberFormat="1" applyFont="1" applyFill="1" applyBorder="1"/>
    <x:xf numFmtId="207" fontId="7" fillId="0" borderId="1" xfId="0" applyNumberFormat="1" applyFont="1" applyFill="1" applyBorder="1"/>
    <x:xf numFmtId="207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f6be949bb41cc" /><Relationship Type="http://schemas.openxmlformats.org/officeDocument/2006/relationships/theme" Target="/xl/theme/theme1.xml" Id="R9b1f088a726e418b" /><Relationship Type="http://schemas.openxmlformats.org/officeDocument/2006/relationships/sharedStrings" Target="/xl/sharedStrings.xml" Id="R82aea4fe85ce4578" /><Relationship Type="http://schemas.openxmlformats.org/officeDocument/2006/relationships/worksheet" Target="/xl/worksheets/sheet1.xml" Id="R357b246d0d2f4ceb" /><Relationship Type="http://schemas.openxmlformats.org/officeDocument/2006/relationships/worksheet" Target="/xl/worksheets/sheet2.xml" Id="R0cc9c9af6d434a52" /><Relationship Type="http://schemas.openxmlformats.org/officeDocument/2006/relationships/worksheet" Target="/xl/worksheets/sheet3.xml" Id="R2f2d75ca89214501" /><Relationship Type="http://schemas.openxmlformats.org/officeDocument/2006/relationships/worksheet" Target="/xl/worksheets/sheet4.xml" Id="R0a7eb1131d1e48fc" /><Relationship Type="http://schemas.openxmlformats.org/officeDocument/2006/relationships/worksheet" Target="/xl/worksheets/sheet5.xml" Id="Rfca91ccc092f490d" /><Relationship Type="http://schemas.openxmlformats.org/officeDocument/2006/relationships/worksheet" Target="/xl/worksheets/sheet6.xml" Id="Rd3b82c41c7c442f7" /><Relationship Type="http://schemas.openxmlformats.org/officeDocument/2006/relationships/worksheet" Target="/xl/worksheets/sheet7.xml" Id="Rec5534bf278347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e8330edf6a4b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Valuation Reference — Midpoints vs Offer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Low</c:v>
          </c:tx>
          <c:cat>
            <c:strRef>
              <c:f>'Valuation'!$A$27:$A$30</c:f>
              <c:strCache>
                <c:ptCount val="0"/>
              </c:strCache>
            </c:strRef>
          </c:cat>
          <c:val>
            <c:numRef>
              <c:f>'Valuation'!$B$27:$B$30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High</c:v>
          </c:tx>
          <c:cat>
            <c:strRef>
              <c:f>'Valuation'!$A$27:$A$30</c:f>
              <c:strCache>
                <c:ptCount val="0"/>
              </c:strCache>
            </c:strRef>
          </c:cat>
          <c:val>
            <c:numRef>
              <c:f>'Valuation'!$C$27:$C$30</c:f>
              <c:numCache>
                <c:formatCode>$0.00</c:formatCode>
                <c:ptCount val="0"/>
              </c:numCache>
            </c:numRef>
          </c:val>
        </c:ser>
        <c:ser>
          <c:idx val="2"/>
          <c:order val="2"/>
          <c:tx>
            <c:v>Midpoint</c:v>
          </c:tx>
          <c:cat>
            <c:strRef>
              <c:f>'Valuation'!$A$27:$A$30</c:f>
              <c:strCache>
                <c:ptCount val="0"/>
              </c:strCache>
            </c:strRef>
          </c:cat>
          <c:val>
            <c:numRef>
              <c:f>'Valuation'!$D$27:$D$30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31</xdr:row>
      <xdr:rowOff>0</xdr:rowOff>
    </xdr:from>
    <xdr:to>
      <xdr:col>13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e8330edf6a4b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27a9e97c4ee400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5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162" t="str">
        <x:v>Baker Hughes / Chart Industries — M&amp;A Valuation &amp; Fairness Reconstruction</x:v>
      </x:c>
      <x:c r="B1" s="162"/>
      <x:c r="C1" s="162"/>
      <x:c r="D1" s="162"/>
      <x:c r="E1" s="162"/>
      <x:c r="F1" s="162"/>
      <x:c r="G1" s="162"/>
      <x:c r="H1" s="162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 ht="15" hidden="0" customHeight="1">
      <x:c r="A2" s="164" t="str">
        <x:v>Independent public-information banking case | Built to demonstrate valuation, transaction analysis, merger consequences and source discipline</x:v>
      </x:c>
      <x:c r="B2" s="164"/>
      <x:c r="C2" s="164"/>
      <x:c r="D2" s="164"/>
      <x:c r="E2" s="164"/>
      <x:c r="F2" s="164"/>
      <x:c r="G2" s="164"/>
      <x:c r="H2" s="164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 ht="15" hidden="0" customHeight="1">
      <x:c r="A3" s="165"/>
      <x:c r="B3" s="165"/>
      <x:c r="C3" s="165"/>
      <x:c r="D3" s="165"/>
      <x:c r="E3" s="165"/>
      <x:c r="F3" s="165"/>
      <x:c r="G3" s="165"/>
      <x:c r="H3" s="165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 ht="15" hidden="0" customHeight="1">
      <x:c r="A4" s="101" t="str">
        <x:v>TRANSACTION SNAPSHOT</x:v>
      </x:c>
      <x:c r="B4" s="101"/>
      <x:c r="C4" s="101"/>
      <x:c r="D4" s="101"/>
      <x:c r="E4" s="101" t="str">
        <x:v>VALUATION TAKEAWAYS</x:v>
      </x:c>
      <x:c r="F4" s="101"/>
      <x:c r="G4" s="101"/>
      <x:c r="H4" s="101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 ht="15" hidden="0" customHeight="1">
      <x:c r="A5" s="165" t="str">
        <x:v>Offer price / share</x:v>
      </x:c>
      <x:c r="B5" s="166" t="n">
        <x:f>'Model Inputs'!B5</x:f>
        <x:v>210</x:v>
      </x:c>
      <x:c r="C5" s="165"/>
      <x:c r="D5" s="165"/>
      <x:c r="E5" s="6" t="str">
        <x:v>Method</x:v>
      </x:c>
      <x:c r="F5" s="6" t="str">
        <x:v>Low</x:v>
      </x:c>
      <x:c r="G5" s="6" t="str">
        <x:v>High</x:v>
      </x:c>
      <x:c r="H5" s="6" t="str">
        <x:v>Midpoint</x:v>
      </x:c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 ht="15" hidden="0" customHeight="1">
      <x:c r="A6" s="165" t="str">
        <x:v>Equity value</x:v>
      </x:c>
      <x:c r="B6" s="167" t="n">
        <x:f>'Model Inputs'!B6</x:f>
        <x:v>10100</x:v>
      </x:c>
      <x:c r="C6" s="165"/>
      <x:c r="D6" s="165"/>
      <x:c r="E6" s="165" t="str">
        <x:v>Selected companies</x:v>
      </x:c>
      <x:c r="F6" s="166" t="n">
        <x:f>'Valuation'!B27</x:f>
        <x:v>165.5049504950495</x:v>
      </x:c>
      <x:c r="G6" s="166" t="n">
        <x:f>'Valuation'!C27</x:f>
        <x:v>221.35247524752475</x:v>
      </x:c>
      <x:c r="H6" s="166" t="n">
        <x:f>'Valuation'!D27</x:f>
        <x:v>193.42871287128713</x:v>
      </x:c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 ht="15" hidden="0" customHeight="1">
      <x:c r="A7" s="165" t="str">
        <x:v>Enterprise value</x:v>
      </x:c>
      <x:c r="B7" s="167" t="n">
        <x:f>'Model Inputs'!B7</x:f>
        <x:v>13600</x:v>
      </x:c>
      <x:c r="C7" s="165"/>
      <x:c r="D7" s="165"/>
      <x:c r="E7" s="165" t="str">
        <x:v>Selected transactions</x:v>
      </x:c>
      <x:c r="F7" s="168" t="n">
        <x:v>163.41</x:v>
      </x:c>
      <x:c r="G7" s="168" t="n">
        <x:v>205.7</x:v>
      </x:c>
      <x:c r="H7" s="168" t="n">
        <x:f>AVERAGE(F7:G7)</x:f>
        <x:v>184.555</x:v>
      </x:c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 ht="15" hidden="0" customHeight="1">
      <x:c r="A8" s="165" t="str">
        <x:v>Premium vs unaffected</x:v>
      </x:c>
      <x:c r="B8" s="169" t="n">
        <x:f>'Model Inputs'!B8</x:f>
        <x:v>0.3</x:v>
      </x:c>
      <x:c r="C8" s="165"/>
      <x:c r="D8" s="165"/>
      <x:c r="E8" s="165" t="str">
        <x:v>Independent DCF</x:v>
      </x:c>
      <x:c r="F8" s="168" t="n">
        <x:v>165.12</x:v>
      </x:c>
      <x:c r="G8" s="168" t="n">
        <x:v>224.42</x:v>
      </x:c>
      <x:c r="H8" s="168" t="n">
        <x:f>AVERAGE(F8:G8)</x:f>
        <x:v>194.76999999999998</x:v>
      </x:c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 ht="15" hidden="0" customHeight="1">
      <x:c r="A9" s="165" t="str">
        <x:v>Annualized cost synergies</x:v>
      </x:c>
      <x:c r="B9" s="167" t="n">
        <x:f>'Model Inputs'!B9</x:f>
        <x:v>325</x:v>
      </x:c>
      <x:c r="C9" s="165"/>
      <x:c r="D9" s="165"/>
      <x:c r="E9" s="165" t="str">
        <x:v>Offer</x:v>
      </x:c>
      <x:c r="F9" s="168" t="n">
        <x:v>210</x:v>
      </x:c>
      <x:c r="G9" s="168" t="n">
        <x:v>210</x:v>
      </x:c>
      <x:c r="H9" s="168" t="n">
        <x:v>210</x:v>
      </x:c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 ht="15" hidden="0" customHeight="1">
      <x:c r="A10" s="165" t="str">
        <x:v>Headline EV / 2025E EBITDA</x:v>
      </x:c>
      <x:c r="B10" s="170" t="n">
        <x:f>'Valuation'!G30</x:f>
        <x:v>11.8673647469459</x:v>
      </x:c>
      <x:c r="C10" s="165"/>
      <x:c r="D10" s="165"/>
      <x:c r="E10" s="165"/>
      <x:c r="F10" s="165"/>
      <x:c r="G10" s="165"/>
      <x:c r="H10" s="165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 ht="15" hidden="0" customHeight="1">
      <x:c r="A11" s="165" t="str">
        <x:v>Transaction status</x:v>
      </x:c>
      <x:c r="B11" s="165" t="str">
        <x:v>Closed Jul 16, 2026</x:v>
      </x:c>
      <x:c r="C11" s="165"/>
      <x:c r="D11" s="165"/>
      <x:c r="E11" s="165"/>
      <x:c r="F11" s="165"/>
      <x:c r="G11" s="165"/>
      <x:c r="H11" s="165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 ht="15" hidden="0" customHeight="1">
      <x:c r="A12" s="165"/>
      <x:c r="B12" s="165"/>
      <x:c r="C12" s="165"/>
      <x:c r="D12" s="165"/>
      <x:c r="E12" s="165"/>
      <x:c r="F12" s="165"/>
      <x:c r="G12" s="165"/>
      <x:c r="H12" s="165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 ht="19" hidden="0" customHeight="1">
      <x:c r="A13" s="101" t="str">
        <x:v>ANALYTICAL CONCLUSION</x:v>
      </x:c>
      <x:c r="B13" s="101"/>
      <x:c r="C13" s="101"/>
      <x:c r="D13" s="101"/>
      <x:c r="E13" s="101"/>
      <x:c r="F13" s="101"/>
      <x:c r="G13" s="101"/>
      <x:c r="H13" s="101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 ht="24" hidden="0" customHeight="1">
      <x:c r="A14" s="145" t="str">
        <x:v>The $210/share cash offer sits above the midpoint of the reconstructed selected-company, precedent-transaction and independent DCF reference ranges. The independent DCF sensitivity produces an approximate $165-$224/share range versus Wells Fargo's disclosed $171-$230 range. That directional consistency is achieved using only public proxy / 10-K inputs and transparent normalization assumptions. The $325m cost-synergy target and debt-heavy funding make financing cost, synergy realization and deleveraging central merger-consequence variables.</x:v>
      </x:c>
      <x:c r="B14" s="145"/>
      <x:c r="C14" s="145"/>
      <x:c r="D14" s="145"/>
      <x:c r="E14" s="145"/>
      <x:c r="F14" s="145"/>
      <x:c r="G14" s="145"/>
      <x:c r="H14" s="145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 ht="24" hidden="0" customHeight="1">
      <x:c r="A15" s="145"/>
      <x:c r="B15" s="145"/>
      <x:c r="C15" s="145"/>
      <x:c r="D15" s="145"/>
      <x:c r="E15" s="145"/>
      <x:c r="F15" s="145"/>
      <x:c r="G15" s="145"/>
      <x:c r="H15" s="145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 ht="24" hidden="0" customHeight="1">
      <x:c r="A16" s="145"/>
      <x:c r="B16" s="145"/>
      <x:c r="C16" s="145"/>
      <x:c r="D16" s="145"/>
      <x:c r="E16" s="145"/>
      <x:c r="F16" s="145"/>
      <x:c r="G16" s="145"/>
      <x:c r="H16" s="145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 ht="24" hidden="0" customHeight="1">
      <x:c r="A17" s="145"/>
      <x:c r="B17" s="145"/>
      <x:c r="C17" s="145"/>
      <x:c r="D17" s="145"/>
      <x:c r="E17" s="145"/>
      <x:c r="F17" s="145"/>
      <x:c r="G17" s="145"/>
      <x:c r="H17" s="145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5" hidden="0" customHeight="1">
      <x:c r="A18" s="165"/>
      <x:c r="B18" s="165"/>
      <x:c r="C18" s="165"/>
      <x:c r="D18" s="165"/>
      <x:c r="E18" s="165"/>
      <x:c r="F18" s="165"/>
      <x:c r="G18" s="165"/>
      <x:c r="H18" s="165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 ht="19" hidden="0" customHeight="1">
      <x:c r="A19" s="101" t="str">
        <x:v>KEY RISKS / LIMITATIONS</x:v>
      </x:c>
      <x:c r="B19" s="101"/>
      <x:c r="C19" s="101"/>
      <x:c r="D19" s="101"/>
      <x:c r="E19" s="101"/>
      <x:c r="F19" s="101"/>
      <x:c r="G19" s="101"/>
      <x:c r="H19" s="101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 ht="26" hidden="0" customHeight="1">
      <x:c r="A20" s="172" t="str">
        <x:v>1</x:v>
      </x:c>
      <x:c r="B20" s="173" t="str">
        <x:v>Independent reconstruction, not Wells Fargo's proprietary model; several banker inputs were not publicly disclosed.</x:v>
      </x:c>
      <x:c r="C20" s="173"/>
      <x:c r="D20" s="173"/>
      <x:c r="E20" s="173"/>
      <x:c r="F20" s="173"/>
      <x:c r="G20" s="173"/>
      <x:c r="H20" s="17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 ht="26" hidden="0" customHeight="1">
      <x:c r="A21" s="172" t="str">
        <x:v>2</x:v>
      </x:c>
      <x:c r="B21" s="173" t="str">
        <x:v>Net debt and diluted shares are approximated from rounded transaction equity / enterprise values.</x:v>
      </x:c>
      <x:c r="C21" s="173"/>
      <x:c r="D21" s="173"/>
      <x:c r="E21" s="173"/>
      <x:c r="F21" s="173"/>
      <x:c r="G21" s="173"/>
      <x:c r="H21" s="17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 ht="26" hidden="0" customHeight="1">
      <x:c r="A22" s="172" t="str">
        <x:v>3</x:v>
      </x:c>
      <x:c r="B22" s="173" t="str">
        <x:v>DCF extends D&amp;A and operating NWC using 2024 ratios and 2030 CapEx using the 2029 CapEx / sales ratio.</x:v>
      </x:c>
      <x:c r="C22" s="173"/>
      <x:c r="D22" s="173"/>
      <x:c r="E22" s="173"/>
      <x:c r="F22" s="173"/>
      <x:c r="G22" s="173"/>
      <x:c r="H22" s="17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 ht="26" hidden="0" customHeight="1">
      <x:c r="A23" s="172" t="str">
        <x:v>4</x:v>
      </x:c>
      <x:c r="B23" s="173" t="str">
        <x:v>Merger-consequences analysis excludes purchase accounting, one-time costs, commercial synergies and detailed tranche pricing.</x:v>
      </x:c>
      <x:c r="C23" s="173"/>
      <x:c r="D23" s="173"/>
      <x:c r="E23" s="173"/>
      <x:c r="F23" s="173"/>
      <x:c r="G23" s="173"/>
      <x:c r="H23" s="17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 ht="26" hidden="0" customHeight="1">
      <x:c r="A24" s="172" t="str">
        <x:v>5</x:v>
      </x:c>
      <x:c r="B24" s="173" t="str">
        <x:v>No investment recommendation, fairness opinion or representation of non-public deal-team work is made.</x:v>
      </x:c>
      <x:c r="C24" s="173"/>
      <x:c r="D24" s="173"/>
      <x:c r="E24" s="173"/>
      <x:c r="F24" s="173"/>
      <x:c r="G24" s="173"/>
      <x:c r="H24" s="17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 ht="15" hidden="0" customHeight="1">
      <x:c r="A25" s="165"/>
      <x:c r="B25" s="165"/>
      <x:c r="C25" s="165"/>
      <x:c r="D25" s="165"/>
      <x:c r="E25" s="165"/>
      <x:c r="F25" s="165"/>
      <x:c r="G25" s="165"/>
      <x:c r="H25" s="165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 ht="19" hidden="0" customHeight="1">
      <x:c r="A26" s="101" t="str">
        <x:v>RECRUITER EVIDENCE</x:v>
      </x:c>
      <x:c r="B26" s="101"/>
      <x:c r="C26" s="101"/>
      <x:c r="D26" s="101"/>
      <x:c r="E26" s="101"/>
      <x:c r="F26" s="101"/>
      <x:c r="G26" s="101"/>
      <x:c r="H26" s="101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 ht="26.399999618530273" hidden="0" customHeight="1">
      <x:c r="A27" s="18" t="str">
        <x:v>Skill demonstrated</x:v>
      </x:c>
      <x:c r="B27" s="18" t="str">
        <x:v>Evidence in workbook</x:v>
      </x:c>
      <x:c r="C27" s="18" t="str">
        <x:v>Why relevant to BofA GIB</x:v>
      </x:c>
      <x:c r="D27" s="165"/>
      <x:c r="E27" s="165"/>
      <x:c r="F27" s="165"/>
      <x:c r="G27" s="165"/>
      <x:c r="H27" s="165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 ht="52.79999923706055" hidden="0" customHeight="1">
      <x:c r="A28" s="20" t="str">
        <x:v>Valuation</x:v>
      </x:c>
      <x:c r="B28" s="20" t="str">
        <x:v>DCF + selected-company + precedent triangulation</x:v>
      </x:c>
      <x:c r="C28" s="20" t="str">
        <x:v>Role explicitly requires valuation / financial analyses</x:v>
      </x:c>
      <x:c r="D28" s="165"/>
      <x:c r="E28" s="165"/>
      <x:c r="F28" s="165"/>
      <x:c r="G28" s="165"/>
      <x:c r="H28" s="165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 ht="52.79999923706055" hidden="0" customHeight="1">
      <x:c r="A29" s="20" t="str">
        <x:v>M&amp;A mechanics</x:v>
      </x:c>
      <x:c r="B29" s="20" t="str">
        <x:v>Offer premium, EV/equity bridge, funding / synergy sensitivities</x:v>
      </x:c>
      <x:c r="C29" s="20" t="str">
        <x:v>Role explicitly requires merger consequences</x:v>
      </x:c>
      <x:c r="D29" s="165"/>
      <x:c r="E29" s="165"/>
      <x:c r="F29" s="165"/>
      <x:c r="G29" s="165"/>
      <x:c r="H29" s="165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 ht="39.599998474121094" hidden="0" customHeight="1">
      <x:c r="A30" s="20" t="str">
        <x:v>Source discipline</x:v>
      </x:c>
      <x:c r="B30" s="20" t="str">
        <x:v>Every raw fact traces to SEC / company source map</x:v>
      </x:c>
      <x:c r="C30" s="20" t="str">
        <x:v>Supports diligence and attention to detail</x:v>
      </x:c>
      <x:c r="D30" s="165"/>
      <x:c r="E30" s="165"/>
      <x:c r="F30" s="165"/>
      <x:c r="G30" s="165"/>
      <x:c r="H30" s="165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 ht="52.79999923706055" hidden="0" customHeight="1">
      <x:c r="A31" s="20" t="str">
        <x:v>Judgment / limitations</x:v>
      </x:c>
      <x:c r="B31" s="20" t="str">
        <x:v>Undisclosed banker inputs and analyst assumptions explicitly separated</x:v>
      </x:c>
      <x:c r="C31" s="20" t="str">
        <x:v>Improves defensibility; avoids overclaiming</x:v>
      </x:c>
      <x:c r="D31" s="165"/>
      <x:c r="E31" s="165"/>
      <x:c r="F31" s="165"/>
      <x:c r="G31" s="165"/>
      <x:c r="H31" s="165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 ht="15" hidden="0" customHeight="1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 ht="15" hidden="0" customHeight="1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 ht="15" hidden="0" customHeight="1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 ht="15" hidden="0" customHeight="1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 ht="15" hidden="0" customHeight="1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 ht="15" hidden="0" customHeight="1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 ht="15" hidden="0" customHeight="1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 ht="15" hidden="0" customHeight="1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 ht="15" hidden="0" customHeight="1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 ht="15" hidden="0" customHeight="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 ht="15" hidden="0" customHeight="1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 ht="15" hidden="0" customHeight="1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 ht="15" hidden="0" customHeight="1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 ht="15" hidden="0" customHeight="1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 ht="15" hidden="0" customHeight="1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 ht="15" hidden="0" customHeight="1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 ht="15" hidden="0" customHeight="1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 ht="15" hidden="0" customHeight="1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 ht="15" hidden="0" customHeight="1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 ht="15" hidden="0" customHeight="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 ht="15" hidden="0" customHeight="1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 ht="15" hidden="0" customHeight="1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 ht="15" hidden="0" customHeight="1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 ht="15" hidden="0" customHeight="1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 ht="15" hidden="0" customHeight="1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 ht="15" hidden="0" customHeight="1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 ht="15" hidden="0" customHeight="1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 ht="15" hidden="0" customHeight="1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 ht="15" hidden="0" customHeight="1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  <x:row r="61" ht="15" hidden="0" customHeight="1">
      <x:c r="A61" s="163"/>
      <x:c r="B61" s="163"/>
      <x:c r="C61" s="163"/>
      <x:c r="D61" s="163"/>
      <x:c r="E61" s="163"/>
      <x:c r="F61" s="163"/>
      <x:c r="G61" s="163"/>
      <x:c r="H61" s="163"/>
      <x:c r="I61" s="163"/>
      <x:c r="J61" s="163"/>
      <x:c r="K61" s="163"/>
      <x:c r="L61" s="163"/>
      <x:c r="M61" s="163"/>
      <x:c r="N61" s="163"/>
      <x:c r="O61" s="163"/>
      <x:c r="P61" s="163"/>
      <x:c r="Q61" s="163"/>
      <x:c r="R61" s="163"/>
      <x:c r="S61" s="163"/>
      <x:c r="T61" s="163"/>
      <x:c r="U61" s="163"/>
      <x:c r="V61" s="163"/>
      <x:c r="W61" s="163"/>
      <x:c r="X61" s="163"/>
      <x:c r="Y61" s="163"/>
      <x:c r="Z61" s="163"/>
    </x:row>
    <x:row r="62" ht="15" hidden="0" customHeight="1">
      <x:c r="A62" s="163"/>
      <x:c r="B62" s="163"/>
      <x:c r="C62" s="163"/>
      <x:c r="D62" s="163"/>
      <x:c r="E62" s="163"/>
      <x:c r="F62" s="163"/>
      <x:c r="G62" s="163"/>
      <x:c r="H62" s="163"/>
      <x:c r="I62" s="163"/>
      <x:c r="J62" s="163"/>
      <x:c r="K62" s="163"/>
      <x:c r="L62" s="163"/>
      <x:c r="M62" s="163"/>
      <x:c r="N62" s="163"/>
      <x:c r="O62" s="163"/>
      <x:c r="P62" s="163"/>
      <x:c r="Q62" s="163"/>
      <x:c r="R62" s="163"/>
      <x:c r="S62" s="163"/>
      <x:c r="T62" s="163"/>
      <x:c r="U62" s="163"/>
      <x:c r="V62" s="163"/>
      <x:c r="W62" s="163"/>
      <x:c r="X62" s="163"/>
      <x:c r="Y62" s="163"/>
      <x:c r="Z62" s="163"/>
    </x:row>
    <x:row r="63" ht="15" hidden="0" customHeight="1">
      <x:c r="A63" s="163"/>
      <x:c r="B63" s="163"/>
      <x:c r="C63" s="163"/>
      <x:c r="D63" s="163"/>
      <x:c r="E63" s="163"/>
      <x:c r="F63" s="163"/>
      <x:c r="G63" s="163"/>
      <x:c r="H63" s="163"/>
      <x:c r="I63" s="163"/>
      <x:c r="J63" s="163"/>
      <x:c r="K63" s="163"/>
      <x:c r="L63" s="163"/>
      <x:c r="M63" s="163"/>
      <x:c r="N63" s="163"/>
      <x:c r="O63" s="163"/>
      <x:c r="P63" s="163"/>
      <x:c r="Q63" s="163"/>
      <x:c r="R63" s="163"/>
      <x:c r="S63" s="163"/>
      <x:c r="T63" s="163"/>
      <x:c r="U63" s="163"/>
      <x:c r="V63" s="163"/>
      <x:c r="W63" s="163"/>
      <x:c r="X63" s="163"/>
      <x:c r="Y63" s="163"/>
      <x:c r="Z63" s="163"/>
    </x:row>
    <x:row r="64" ht="15" hidden="0" customHeight="1">
      <x:c r="A64" s="163"/>
      <x:c r="B64" s="163"/>
      <x:c r="C64" s="163"/>
      <x:c r="D64" s="163"/>
      <x:c r="E64" s="163"/>
      <x:c r="F64" s="163"/>
      <x:c r="G64" s="163"/>
      <x:c r="H64" s="163"/>
      <x:c r="I64" s="163"/>
      <x:c r="J64" s="163"/>
      <x:c r="K64" s="163"/>
      <x:c r="L64" s="163"/>
      <x:c r="M64" s="163"/>
      <x:c r="N64" s="163"/>
      <x:c r="O64" s="163"/>
      <x:c r="P64" s="163"/>
      <x:c r="Q64" s="163"/>
      <x:c r="R64" s="163"/>
      <x:c r="S64" s="163"/>
      <x:c r="T64" s="163"/>
      <x:c r="U64" s="163"/>
      <x:c r="V64" s="163"/>
      <x:c r="W64" s="163"/>
      <x:c r="X64" s="163"/>
      <x:c r="Y64" s="163"/>
      <x:c r="Z64" s="163"/>
    </x:row>
    <x:row r="65" ht="15" hidden="0" customHeight="1">
      <x:c r="A65" s="163"/>
      <x:c r="B65" s="163"/>
      <x:c r="C65" s="163"/>
      <x:c r="D65" s="163"/>
      <x:c r="E65" s="163"/>
      <x:c r="F65" s="163"/>
      <x:c r="G65" s="163"/>
      <x:c r="H65" s="163"/>
      <x:c r="I65" s="163"/>
      <x:c r="J65" s="163"/>
      <x:c r="K65" s="163"/>
      <x:c r="L65" s="163"/>
      <x:c r="M65" s="163"/>
      <x:c r="N65" s="163"/>
      <x:c r="O65" s="163"/>
      <x:c r="P65" s="163"/>
      <x:c r="Q65" s="163"/>
      <x:c r="R65" s="163"/>
      <x:c r="S65" s="163"/>
      <x:c r="T65" s="163"/>
      <x:c r="U65" s="163"/>
      <x:c r="V65" s="163"/>
      <x:c r="W65" s="163"/>
      <x:c r="X65" s="163"/>
      <x:c r="Y65" s="163"/>
      <x:c r="Z65" s="163"/>
    </x:row>
    <x:row r="66" ht="15" hidden="0" customHeight="1">
      <x:c r="A66" s="163"/>
      <x:c r="B66" s="163"/>
      <x:c r="C66" s="163"/>
      <x:c r="D66" s="163"/>
      <x:c r="E66" s="163"/>
      <x:c r="F66" s="163"/>
      <x:c r="G66" s="163"/>
      <x:c r="H66" s="163"/>
      <x:c r="I66" s="163"/>
      <x:c r="J66" s="163"/>
      <x:c r="K66" s="163"/>
      <x:c r="L66" s="163"/>
      <x:c r="M66" s="163"/>
      <x:c r="N66" s="163"/>
      <x:c r="O66" s="163"/>
      <x:c r="P66" s="163"/>
      <x:c r="Q66" s="163"/>
      <x:c r="R66" s="163"/>
      <x:c r="S66" s="163"/>
      <x:c r="T66" s="163"/>
      <x:c r="U66" s="163"/>
      <x:c r="V66" s="163"/>
      <x:c r="W66" s="163"/>
      <x:c r="X66" s="163"/>
      <x:c r="Y66" s="163"/>
      <x:c r="Z66" s="163"/>
    </x:row>
    <x:row r="67" ht="15" hidden="0" customHeight="1">
      <x:c r="A67" s="163"/>
      <x:c r="B67" s="163"/>
      <x:c r="C67" s="163"/>
      <x:c r="D67" s="163"/>
      <x:c r="E67" s="163"/>
      <x:c r="F67" s="163"/>
      <x:c r="G67" s="163"/>
      <x:c r="H67" s="163"/>
      <x:c r="I67" s="163"/>
      <x:c r="J67" s="163"/>
      <x:c r="K67" s="163"/>
      <x:c r="L67" s="163"/>
      <x:c r="M67" s="163"/>
      <x:c r="N67" s="163"/>
      <x:c r="O67" s="163"/>
      <x:c r="P67" s="163"/>
      <x:c r="Q67" s="163"/>
      <x:c r="R67" s="163"/>
      <x:c r="S67" s="163"/>
      <x:c r="T67" s="163"/>
      <x:c r="U67" s="163"/>
      <x:c r="V67" s="163"/>
      <x:c r="W67" s="163"/>
      <x:c r="X67" s="163"/>
      <x:c r="Y67" s="163"/>
      <x:c r="Z67" s="163"/>
    </x:row>
    <x:row r="68" ht="15" hidden="0" customHeight="1">
      <x:c r="A68" s="163"/>
      <x:c r="B68" s="163"/>
      <x:c r="C68" s="163"/>
      <x:c r="D68" s="163"/>
      <x:c r="E68" s="163"/>
      <x:c r="F68" s="163"/>
      <x:c r="G68" s="163"/>
      <x:c r="H68" s="163"/>
      <x:c r="I68" s="163"/>
      <x:c r="J68" s="163"/>
      <x:c r="K68" s="163"/>
      <x:c r="L68" s="163"/>
      <x:c r="M68" s="163"/>
      <x:c r="N68" s="163"/>
      <x:c r="O68" s="163"/>
      <x:c r="P68" s="163"/>
      <x:c r="Q68" s="163"/>
      <x:c r="R68" s="163"/>
      <x:c r="S68" s="163"/>
      <x:c r="T68" s="163"/>
      <x:c r="U68" s="163"/>
      <x:c r="V68" s="163"/>
      <x:c r="W68" s="163"/>
      <x:c r="X68" s="163"/>
      <x:c r="Y68" s="163"/>
      <x:c r="Z68" s="163"/>
    </x:row>
    <x:row r="69" ht="15" hidden="0" customHeight="1">
      <x:c r="A69" s="163"/>
      <x:c r="B69" s="163"/>
      <x:c r="C69" s="163"/>
      <x:c r="D69" s="163"/>
      <x:c r="E69" s="163"/>
      <x:c r="F69" s="163"/>
      <x:c r="G69" s="163"/>
      <x:c r="H69" s="163"/>
      <x:c r="I69" s="163"/>
      <x:c r="J69" s="163"/>
      <x:c r="K69" s="163"/>
      <x:c r="L69" s="163"/>
      <x:c r="M69" s="163"/>
      <x:c r="N69" s="163"/>
      <x:c r="O69" s="163"/>
      <x:c r="P69" s="163"/>
      <x:c r="Q69" s="163"/>
      <x:c r="R69" s="163"/>
      <x:c r="S69" s="163"/>
      <x:c r="T69" s="163"/>
      <x:c r="U69" s="163"/>
      <x:c r="V69" s="163"/>
      <x:c r="W69" s="163"/>
      <x:c r="X69" s="163"/>
      <x:c r="Y69" s="163"/>
      <x:c r="Z69" s="163"/>
    </x:row>
    <x:row r="70" ht="15" hidden="0" customHeight="1">
      <x:c r="A70" s="163"/>
      <x:c r="B70" s="163"/>
      <x:c r="C70" s="163"/>
      <x:c r="D70" s="163"/>
      <x:c r="E70" s="163"/>
      <x:c r="F70" s="163"/>
      <x:c r="G70" s="163"/>
      <x:c r="H70" s="163"/>
      <x:c r="I70" s="163"/>
      <x:c r="J70" s="163"/>
      <x:c r="K70" s="163"/>
      <x:c r="L70" s="163"/>
      <x:c r="M70" s="163"/>
      <x:c r="N70" s="163"/>
      <x:c r="O70" s="163"/>
      <x:c r="P70" s="163"/>
      <x:c r="Q70" s="163"/>
      <x:c r="R70" s="163"/>
      <x:c r="S70" s="163"/>
      <x:c r="T70" s="163"/>
      <x:c r="U70" s="163"/>
      <x:c r="V70" s="163"/>
      <x:c r="W70" s="163"/>
      <x:c r="X70" s="163"/>
      <x:c r="Y70" s="163"/>
      <x:c r="Z70" s="163"/>
    </x:row>
    <x:row r="71" ht="15" hidden="0" customHeight="1">
      <x:c r="A71" s="163"/>
      <x:c r="B71" s="163"/>
      <x:c r="C71" s="163"/>
      <x:c r="D71" s="163"/>
      <x:c r="E71" s="163"/>
      <x:c r="F71" s="163"/>
      <x:c r="G71" s="163"/>
      <x:c r="H71" s="163"/>
      <x:c r="I71" s="163"/>
      <x:c r="J71" s="163"/>
      <x:c r="K71" s="163"/>
      <x:c r="L71" s="163"/>
      <x:c r="M71" s="163"/>
      <x:c r="N71" s="163"/>
      <x:c r="O71" s="163"/>
      <x:c r="P71" s="163"/>
      <x:c r="Q71" s="163"/>
      <x:c r="R71" s="163"/>
      <x:c r="S71" s="163"/>
      <x:c r="T71" s="163"/>
      <x:c r="U71" s="163"/>
      <x:c r="V71" s="163"/>
      <x:c r="W71" s="163"/>
      <x:c r="X71" s="163"/>
      <x:c r="Y71" s="163"/>
      <x:c r="Z71" s="163"/>
    </x:row>
    <x:row r="72" ht="15" hidden="0" customHeight="1">
      <x:c r="A72" s="163"/>
      <x:c r="B72" s="163"/>
      <x:c r="C72" s="163"/>
      <x:c r="D72" s="163"/>
      <x:c r="E72" s="163"/>
      <x:c r="F72" s="163"/>
      <x:c r="G72" s="163"/>
      <x:c r="H72" s="163"/>
      <x:c r="I72" s="163"/>
      <x:c r="J72" s="163"/>
      <x:c r="K72" s="163"/>
      <x:c r="L72" s="163"/>
      <x:c r="M72" s="163"/>
      <x:c r="N72" s="163"/>
      <x:c r="O72" s="163"/>
      <x:c r="P72" s="163"/>
      <x:c r="Q72" s="163"/>
      <x:c r="R72" s="163"/>
      <x:c r="S72" s="163"/>
      <x:c r="T72" s="163"/>
      <x:c r="U72" s="163"/>
      <x:c r="V72" s="163"/>
      <x:c r="W72" s="163"/>
      <x:c r="X72" s="163"/>
      <x:c r="Y72" s="163"/>
      <x:c r="Z72" s="163"/>
    </x:row>
    <x:row r="73" ht="15" hidden="0" customHeight="1">
      <x:c r="A73" s="163"/>
      <x:c r="B73" s="163"/>
      <x:c r="C73" s="163"/>
      <x:c r="D73" s="163"/>
      <x:c r="E73" s="163"/>
      <x:c r="F73" s="163"/>
      <x:c r="G73" s="163"/>
      <x:c r="H73" s="163"/>
      <x:c r="I73" s="163"/>
      <x:c r="J73" s="163"/>
      <x:c r="K73" s="163"/>
      <x:c r="L73" s="163"/>
      <x:c r="M73" s="163"/>
      <x:c r="N73" s="163"/>
      <x:c r="O73" s="163"/>
      <x:c r="P73" s="163"/>
      <x:c r="Q73" s="163"/>
      <x:c r="R73" s="163"/>
      <x:c r="S73" s="163"/>
      <x:c r="T73" s="163"/>
      <x:c r="U73" s="163"/>
      <x:c r="V73" s="163"/>
      <x:c r="W73" s="163"/>
      <x:c r="X73" s="163"/>
      <x:c r="Y73" s="163"/>
      <x:c r="Z73" s="163"/>
    </x:row>
    <x:row r="74" ht="15" hidden="0" customHeight="1">
      <x:c r="A74" s="163"/>
      <x:c r="B74" s="163"/>
      <x:c r="C74" s="163"/>
      <x:c r="D74" s="163"/>
      <x:c r="E74" s="163"/>
      <x:c r="F74" s="163"/>
      <x:c r="G74" s="163"/>
      <x:c r="H74" s="163"/>
      <x:c r="I74" s="163"/>
      <x:c r="J74" s="163"/>
      <x:c r="K74" s="163"/>
      <x:c r="L74" s="163"/>
      <x:c r="M74" s="163"/>
      <x:c r="N74" s="163"/>
      <x:c r="O74" s="163"/>
      <x:c r="P74" s="163"/>
      <x:c r="Q74" s="163"/>
      <x:c r="R74" s="163"/>
      <x:c r="S74" s="163"/>
      <x:c r="T74" s="163"/>
      <x:c r="U74" s="163"/>
      <x:c r="V74" s="163"/>
      <x:c r="W74" s="163"/>
      <x:c r="X74" s="163"/>
      <x:c r="Y74" s="163"/>
      <x:c r="Z74" s="163"/>
    </x:row>
    <x:row r="75" ht="15" hidden="0" customHeight="1">
      <x:c r="A75" s="163"/>
      <x:c r="B75" s="163"/>
      <x:c r="C75" s="163"/>
      <x:c r="D75" s="163"/>
      <x:c r="E75" s="163"/>
      <x:c r="F75" s="163"/>
      <x:c r="G75" s="163"/>
      <x:c r="H75" s="163"/>
      <x:c r="I75" s="163"/>
      <x:c r="J75" s="163"/>
      <x:c r="K75" s="163"/>
      <x:c r="L75" s="163"/>
      <x:c r="M75" s="163"/>
      <x:c r="N75" s="163"/>
      <x:c r="O75" s="163"/>
      <x:c r="P75" s="163"/>
      <x:c r="Q75" s="163"/>
      <x:c r="R75" s="163"/>
      <x:c r="S75" s="163"/>
      <x:c r="T75" s="163"/>
      <x:c r="U75" s="163"/>
      <x:c r="V75" s="163"/>
      <x:c r="W75" s="163"/>
      <x:c r="X75" s="163"/>
      <x:c r="Y75" s="163"/>
      <x:c r="Z75" s="163"/>
    </x:row>
    <x:row r="76" ht="15" hidden="0" customHeight="1">
      <x:c r="A76" s="163"/>
      <x:c r="B76" s="163"/>
      <x:c r="C76" s="163"/>
      <x:c r="D76" s="163"/>
      <x:c r="E76" s="163"/>
      <x:c r="F76" s="163"/>
      <x:c r="G76" s="163"/>
      <x:c r="H76" s="163"/>
      <x:c r="I76" s="163"/>
      <x:c r="J76" s="163"/>
      <x:c r="K76" s="163"/>
      <x:c r="L76" s="163"/>
      <x:c r="M76" s="163"/>
      <x:c r="N76" s="163"/>
      <x:c r="O76" s="163"/>
      <x:c r="P76" s="163"/>
      <x:c r="Q76" s="163"/>
      <x:c r="R76" s="163"/>
      <x:c r="S76" s="163"/>
      <x:c r="T76" s="163"/>
      <x:c r="U76" s="163"/>
      <x:c r="V76" s="163"/>
      <x:c r="W76" s="163"/>
      <x:c r="X76" s="163"/>
      <x:c r="Y76" s="163"/>
      <x:c r="Z76" s="163"/>
    </x:row>
    <x:row r="77" ht="15" hidden="0" customHeight="1">
      <x:c r="A77" s="163"/>
      <x:c r="B77" s="163"/>
      <x:c r="C77" s="163"/>
      <x:c r="D77" s="163"/>
      <x:c r="E77" s="163"/>
      <x:c r="F77" s="163"/>
      <x:c r="G77" s="163"/>
      <x:c r="H77" s="163"/>
      <x:c r="I77" s="163"/>
      <x:c r="J77" s="163"/>
      <x:c r="K77" s="163"/>
      <x:c r="L77" s="163"/>
      <x:c r="M77" s="163"/>
      <x:c r="N77" s="163"/>
      <x:c r="O77" s="163"/>
      <x:c r="P77" s="163"/>
      <x:c r="Q77" s="163"/>
      <x:c r="R77" s="163"/>
      <x:c r="S77" s="163"/>
      <x:c r="T77" s="163"/>
      <x:c r="U77" s="163"/>
      <x:c r="V77" s="163"/>
      <x:c r="W77" s="163"/>
      <x:c r="X77" s="163"/>
      <x:c r="Y77" s="163"/>
      <x:c r="Z77" s="163"/>
    </x:row>
    <x:row r="78" ht="15" hidden="0" customHeight="1">
      <x:c r="A78" s="163"/>
      <x:c r="B78" s="163"/>
      <x:c r="C78" s="163"/>
      <x:c r="D78" s="163"/>
      <x:c r="E78" s="163"/>
      <x:c r="F78" s="163"/>
      <x:c r="G78" s="163"/>
      <x:c r="H78" s="163"/>
      <x:c r="I78" s="163"/>
      <x:c r="J78" s="163"/>
      <x:c r="K78" s="163"/>
      <x:c r="L78" s="163"/>
      <x:c r="M78" s="163"/>
      <x:c r="N78" s="163"/>
      <x:c r="O78" s="163"/>
      <x:c r="P78" s="163"/>
      <x:c r="Q78" s="163"/>
      <x:c r="R78" s="163"/>
      <x:c r="S78" s="163"/>
      <x:c r="T78" s="163"/>
      <x:c r="U78" s="163"/>
      <x:c r="V78" s="163"/>
      <x:c r="W78" s="163"/>
      <x:c r="X78" s="163"/>
      <x:c r="Y78" s="163"/>
      <x:c r="Z78" s="163"/>
    </x:row>
    <x:row r="79" ht="15" hidden="0" customHeight="1">
      <x:c r="A79" s="163"/>
      <x:c r="B79" s="163"/>
      <x:c r="C79" s="163"/>
      <x:c r="D79" s="163"/>
      <x:c r="E79" s="163"/>
      <x:c r="F79" s="163"/>
      <x:c r="G79" s="163"/>
      <x:c r="H79" s="163"/>
      <x:c r="I79" s="163"/>
      <x:c r="J79" s="163"/>
      <x:c r="K79" s="163"/>
      <x:c r="L79" s="163"/>
      <x:c r="M79" s="163"/>
      <x:c r="N79" s="163"/>
      <x:c r="O79" s="163"/>
      <x:c r="P79" s="163"/>
      <x:c r="Q79" s="163"/>
      <x:c r="R79" s="163"/>
      <x:c r="S79" s="163"/>
      <x:c r="T79" s="163"/>
      <x:c r="U79" s="163"/>
      <x:c r="V79" s="163"/>
      <x:c r="W79" s="163"/>
      <x:c r="X79" s="163"/>
      <x:c r="Y79" s="163"/>
      <x:c r="Z79" s="163"/>
    </x:row>
    <x:row r="80" ht="15" hidden="0" customHeight="1">
      <x:c r="A80" s="163"/>
      <x:c r="B80" s="163"/>
      <x:c r="C80" s="163"/>
      <x:c r="D80" s="163"/>
      <x:c r="E80" s="163"/>
      <x:c r="F80" s="163"/>
      <x:c r="G80" s="163"/>
      <x:c r="H80" s="163"/>
      <x:c r="I80" s="163"/>
      <x:c r="J80" s="163"/>
      <x:c r="K80" s="163"/>
      <x:c r="L80" s="163"/>
      <x:c r="M80" s="163"/>
      <x:c r="N80" s="163"/>
      <x:c r="O80" s="163"/>
      <x:c r="P80" s="163"/>
      <x:c r="Q80" s="163"/>
      <x:c r="R80" s="163"/>
      <x:c r="S80" s="163"/>
      <x:c r="T80" s="163"/>
      <x:c r="U80" s="163"/>
      <x:c r="V80" s="163"/>
      <x:c r="W80" s="163"/>
      <x:c r="X80" s="163"/>
      <x:c r="Y80" s="163"/>
      <x:c r="Z80" s="163"/>
    </x:row>
    <x:row r="81" ht="15" hidden="0" customHeight="1">
      <x:c r="A81" s="163"/>
      <x:c r="B81" s="163"/>
      <x:c r="C81" s="163"/>
      <x:c r="D81" s="163"/>
      <x:c r="E81" s="163"/>
      <x:c r="F81" s="163"/>
      <x:c r="G81" s="163"/>
      <x:c r="H81" s="163"/>
      <x:c r="I81" s="163"/>
      <x:c r="J81" s="163"/>
      <x:c r="K81" s="163"/>
      <x:c r="L81" s="163"/>
      <x:c r="M81" s="163"/>
      <x:c r="N81" s="163"/>
      <x:c r="O81" s="163"/>
      <x:c r="P81" s="163"/>
      <x:c r="Q81" s="163"/>
      <x:c r="R81" s="163"/>
      <x:c r="S81" s="163"/>
      <x:c r="T81" s="163"/>
      <x:c r="U81" s="163"/>
      <x:c r="V81" s="163"/>
      <x:c r="W81" s="163"/>
      <x:c r="X81" s="163"/>
      <x:c r="Y81" s="163"/>
      <x:c r="Z81" s="163"/>
    </x:row>
    <x:row r="82" ht="15" hidden="0" customHeight="1">
      <x:c r="A82" s="163"/>
      <x:c r="B82" s="163"/>
      <x:c r="C82" s="163"/>
      <x:c r="D82" s="163"/>
      <x:c r="E82" s="163"/>
      <x:c r="F82" s="163"/>
      <x:c r="G82" s="163"/>
      <x:c r="H82" s="163"/>
      <x:c r="I82" s="163"/>
      <x:c r="J82" s="163"/>
      <x:c r="K82" s="163"/>
      <x:c r="L82" s="163"/>
      <x:c r="M82" s="163"/>
      <x:c r="N82" s="163"/>
      <x:c r="O82" s="163"/>
      <x:c r="P82" s="163"/>
      <x:c r="Q82" s="163"/>
      <x:c r="R82" s="163"/>
      <x:c r="S82" s="163"/>
      <x:c r="T82" s="163"/>
      <x:c r="U82" s="163"/>
      <x:c r="V82" s="163"/>
      <x:c r="W82" s="163"/>
      <x:c r="X82" s="163"/>
      <x:c r="Y82" s="163"/>
      <x:c r="Z82" s="163"/>
    </x:row>
    <x:row r="83" ht="15" hidden="0" customHeight="1">
      <x:c r="A83" s="163"/>
      <x:c r="B83" s="163"/>
      <x:c r="C83" s="163"/>
      <x:c r="D83" s="163"/>
      <x:c r="E83" s="163"/>
      <x:c r="F83" s="163"/>
      <x:c r="G83" s="163"/>
      <x:c r="H83" s="163"/>
      <x:c r="I83" s="163"/>
      <x:c r="J83" s="163"/>
      <x:c r="K83" s="163"/>
      <x:c r="L83" s="163"/>
      <x:c r="M83" s="163"/>
      <x:c r="N83" s="163"/>
      <x:c r="O83" s="163"/>
      <x:c r="P83" s="163"/>
      <x:c r="Q83" s="163"/>
      <x:c r="R83" s="163"/>
      <x:c r="S83" s="163"/>
      <x:c r="T83" s="163"/>
      <x:c r="U83" s="163"/>
      <x:c r="V83" s="163"/>
      <x:c r="W83" s="163"/>
      <x:c r="X83" s="163"/>
      <x:c r="Y83" s="163"/>
      <x:c r="Z83" s="163"/>
    </x:row>
    <x:row r="84" ht="15" hidden="0" customHeight="1">
      <x:c r="A84" s="163"/>
      <x:c r="B84" s="163"/>
      <x:c r="C84" s="163"/>
      <x:c r="D84" s="163"/>
      <x:c r="E84" s="163"/>
      <x:c r="F84" s="163"/>
      <x:c r="G84" s="163"/>
      <x:c r="H84" s="163"/>
      <x:c r="I84" s="163"/>
      <x:c r="J84" s="163"/>
      <x:c r="K84" s="163"/>
      <x:c r="L84" s="163"/>
      <x:c r="M84" s="163"/>
      <x:c r="N84" s="163"/>
      <x:c r="O84" s="163"/>
      <x:c r="P84" s="163"/>
      <x:c r="Q84" s="163"/>
      <x:c r="R84" s="163"/>
      <x:c r="S84" s="163"/>
      <x:c r="T84" s="163"/>
      <x:c r="U84" s="163"/>
      <x:c r="V84" s="163"/>
      <x:c r="W84" s="163"/>
      <x:c r="X84" s="163"/>
      <x:c r="Y84" s="163"/>
      <x:c r="Z84" s="163"/>
    </x:row>
    <x:row r="85" ht="15" hidden="0" customHeight="1">
      <x:c r="A85" s="163"/>
      <x:c r="B85" s="163"/>
      <x:c r="C85" s="163"/>
      <x:c r="D85" s="163"/>
      <x:c r="E85" s="163"/>
      <x:c r="F85" s="163"/>
      <x:c r="G85" s="163"/>
      <x:c r="H85" s="163"/>
      <x:c r="I85" s="163"/>
      <x:c r="J85" s="163"/>
      <x:c r="K85" s="163"/>
      <x:c r="L85" s="163"/>
      <x:c r="M85" s="163"/>
      <x:c r="N85" s="163"/>
      <x:c r="O85" s="163"/>
      <x:c r="P85" s="163"/>
      <x:c r="Q85" s="163"/>
      <x:c r="R85" s="163"/>
      <x:c r="S85" s="163"/>
      <x:c r="T85" s="163"/>
      <x:c r="U85" s="163"/>
      <x:c r="V85" s="163"/>
      <x:c r="W85" s="163"/>
      <x:c r="X85" s="163"/>
      <x:c r="Y85" s="163"/>
      <x:c r="Z85" s="163"/>
    </x:row>
    <x:row r="86" ht="15" hidden="0" customHeight="1">
      <x:c r="A86" s="163"/>
      <x:c r="B86" s="163"/>
      <x:c r="C86" s="163"/>
      <x:c r="D86" s="163"/>
      <x:c r="E86" s="163"/>
      <x:c r="F86" s="163"/>
      <x:c r="G86" s="163"/>
      <x:c r="H86" s="163"/>
      <x:c r="I86" s="163"/>
      <x:c r="J86" s="163"/>
      <x:c r="K86" s="163"/>
      <x:c r="L86" s="163"/>
      <x:c r="M86" s="163"/>
      <x:c r="N86" s="163"/>
      <x:c r="O86" s="163"/>
      <x:c r="P86" s="163"/>
      <x:c r="Q86" s="163"/>
      <x:c r="R86" s="163"/>
      <x:c r="S86" s="163"/>
      <x:c r="T86" s="163"/>
      <x:c r="U86" s="163"/>
      <x:c r="V86" s="163"/>
      <x:c r="W86" s="163"/>
      <x:c r="X86" s="163"/>
      <x:c r="Y86" s="163"/>
      <x:c r="Z86" s="163"/>
    </x:row>
    <x:row r="87" ht="15" hidden="0" customHeight="1">
      <x:c r="A87" s="163"/>
      <x:c r="B87" s="163"/>
      <x:c r="C87" s="163"/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63"/>
      <x:c r="S87" s="163"/>
      <x:c r="T87" s="163"/>
      <x:c r="U87" s="163"/>
      <x:c r="V87" s="163"/>
      <x:c r="W87" s="163"/>
      <x:c r="X87" s="163"/>
      <x:c r="Y87" s="163"/>
      <x:c r="Z87" s="163"/>
    </x:row>
    <x:row r="88" ht="15" hidden="0" customHeight="1">
      <x:c r="A88" s="163"/>
      <x:c r="B88" s="163"/>
      <x:c r="C88" s="163"/>
      <x:c r="D88" s="163"/>
      <x:c r="E88" s="163"/>
      <x:c r="F88" s="163"/>
      <x:c r="G88" s="163"/>
      <x:c r="H88" s="163"/>
      <x:c r="I88" s="163"/>
      <x:c r="J88" s="163"/>
      <x:c r="K88" s="163"/>
      <x:c r="L88" s="163"/>
      <x:c r="M88" s="163"/>
      <x:c r="N88" s="163"/>
      <x:c r="O88" s="163"/>
      <x:c r="P88" s="163"/>
      <x:c r="Q88" s="163"/>
      <x:c r="R88" s="163"/>
      <x:c r="S88" s="163"/>
      <x:c r="T88" s="163"/>
      <x:c r="U88" s="163"/>
      <x:c r="V88" s="163"/>
      <x:c r="W88" s="163"/>
      <x:c r="X88" s="163"/>
      <x:c r="Y88" s="163"/>
      <x:c r="Z88" s="163"/>
    </x:row>
    <x:row r="89" ht="15" hidden="0" customHeight="1">
      <x:c r="A89" s="163"/>
      <x:c r="B89" s="163"/>
      <x:c r="C89" s="163"/>
      <x:c r="D89" s="163"/>
      <x:c r="E89" s="163"/>
      <x:c r="F89" s="163"/>
      <x:c r="G89" s="163"/>
      <x:c r="H89" s="163"/>
      <x:c r="I89" s="163"/>
      <x:c r="J89" s="163"/>
      <x:c r="K89" s="163"/>
      <x:c r="L89" s="163"/>
      <x:c r="M89" s="163"/>
      <x:c r="N89" s="163"/>
      <x:c r="O89" s="163"/>
      <x:c r="P89" s="163"/>
      <x:c r="Q89" s="163"/>
      <x:c r="R89" s="163"/>
      <x:c r="S89" s="163"/>
      <x:c r="T89" s="163"/>
      <x:c r="U89" s="163"/>
      <x:c r="V89" s="163"/>
      <x:c r="W89" s="163"/>
      <x:c r="X89" s="163"/>
      <x:c r="Y89" s="163"/>
      <x:c r="Z89" s="163"/>
    </x:row>
    <x:row r="90" ht="15" hidden="0" customHeight="1">
      <x:c r="A90" s="163"/>
      <x:c r="B90" s="163"/>
      <x:c r="C90" s="163"/>
      <x:c r="D90" s="163"/>
      <x:c r="E90" s="163"/>
      <x:c r="F90" s="163"/>
      <x:c r="G90" s="163"/>
      <x:c r="H90" s="163"/>
      <x:c r="I90" s="163"/>
      <x:c r="J90" s="163"/>
      <x:c r="K90" s="163"/>
      <x:c r="L90" s="163"/>
      <x:c r="M90" s="163"/>
      <x:c r="N90" s="163"/>
      <x:c r="O90" s="163"/>
      <x:c r="P90" s="163"/>
      <x:c r="Q90" s="163"/>
      <x:c r="R90" s="163"/>
      <x:c r="S90" s="163"/>
      <x:c r="T90" s="163"/>
      <x:c r="U90" s="163"/>
      <x:c r="V90" s="163"/>
      <x:c r="W90" s="163"/>
      <x:c r="X90" s="163"/>
      <x:c r="Y90" s="163"/>
      <x:c r="Z90" s="163"/>
    </x:row>
    <x:row r="91" ht="15" hidden="0" customHeight="1">
      <x:c r="A91" s="163"/>
      <x:c r="B91" s="163"/>
      <x:c r="C91" s="163"/>
      <x:c r="D91" s="163"/>
      <x:c r="E91" s="163"/>
      <x:c r="F91" s="163"/>
      <x:c r="G91" s="163"/>
      <x:c r="H91" s="163"/>
      <x:c r="I91" s="163"/>
      <x:c r="J91" s="163"/>
      <x:c r="K91" s="163"/>
      <x:c r="L91" s="163"/>
      <x:c r="M91" s="163"/>
      <x:c r="N91" s="163"/>
      <x:c r="O91" s="163"/>
      <x:c r="P91" s="163"/>
      <x:c r="Q91" s="163"/>
      <x:c r="R91" s="163"/>
      <x:c r="S91" s="163"/>
      <x:c r="T91" s="163"/>
      <x:c r="U91" s="163"/>
      <x:c r="V91" s="163"/>
      <x:c r="W91" s="163"/>
      <x:c r="X91" s="163"/>
      <x:c r="Y91" s="163"/>
      <x:c r="Z91" s="163"/>
    </x:row>
    <x:row r="92" ht="15" hidden="0" customHeight="1">
      <x:c r="A92" s="163"/>
      <x:c r="B92" s="163"/>
      <x:c r="C92" s="163"/>
      <x:c r="D92" s="163"/>
      <x:c r="E92" s="163"/>
      <x:c r="F92" s="163"/>
      <x:c r="G92" s="163"/>
      <x:c r="H92" s="163"/>
      <x:c r="I92" s="163"/>
      <x:c r="J92" s="163"/>
      <x:c r="K92" s="163"/>
      <x:c r="L92" s="163"/>
      <x:c r="M92" s="163"/>
      <x:c r="N92" s="163"/>
      <x:c r="O92" s="163"/>
      <x:c r="P92" s="163"/>
      <x:c r="Q92" s="163"/>
      <x:c r="R92" s="163"/>
      <x:c r="S92" s="163"/>
      <x:c r="T92" s="163"/>
      <x:c r="U92" s="163"/>
      <x:c r="V92" s="163"/>
      <x:c r="W92" s="163"/>
      <x:c r="X92" s="163"/>
      <x:c r="Y92" s="163"/>
      <x:c r="Z92" s="163"/>
    </x:row>
    <x:row r="93" ht="15" hidden="0" customHeight="1">
      <x:c r="A93" s="163"/>
      <x:c r="B93" s="163"/>
      <x:c r="C93" s="163"/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63"/>
      <x:c r="S93" s="163"/>
      <x:c r="T93" s="163"/>
      <x:c r="U93" s="163"/>
      <x:c r="V93" s="163"/>
      <x:c r="W93" s="163"/>
      <x:c r="X93" s="163"/>
      <x:c r="Y93" s="163"/>
      <x:c r="Z93" s="163"/>
    </x:row>
    <x:row r="94" ht="15" hidden="0" customHeight="1">
      <x:c r="A94" s="163"/>
      <x:c r="B94" s="163"/>
      <x:c r="C94" s="163"/>
      <x:c r="D94" s="163"/>
      <x:c r="E94" s="163"/>
      <x:c r="F94" s="163"/>
      <x:c r="G94" s="163"/>
      <x:c r="H94" s="163"/>
      <x:c r="I94" s="163"/>
      <x:c r="J94" s="163"/>
      <x:c r="K94" s="163"/>
      <x:c r="L94" s="163"/>
      <x:c r="M94" s="163"/>
      <x:c r="N94" s="163"/>
      <x:c r="O94" s="163"/>
      <x:c r="P94" s="163"/>
      <x:c r="Q94" s="163"/>
      <x:c r="R94" s="163"/>
      <x:c r="S94" s="163"/>
      <x:c r="T94" s="163"/>
      <x:c r="U94" s="163"/>
      <x:c r="V94" s="163"/>
      <x:c r="W94" s="163"/>
      <x:c r="X94" s="163"/>
      <x:c r="Y94" s="163"/>
      <x:c r="Z94" s="163"/>
    </x:row>
    <x:row r="95" ht="15" hidden="0" customHeight="1">
      <x:c r="A95" s="163"/>
      <x:c r="B95" s="163"/>
      <x:c r="C95" s="163"/>
      <x:c r="D95" s="163"/>
      <x:c r="E95" s="163"/>
      <x:c r="F95" s="163"/>
      <x:c r="G95" s="163"/>
      <x:c r="H95" s="163"/>
      <x:c r="I95" s="163"/>
      <x:c r="J95" s="163"/>
      <x:c r="K95" s="163"/>
      <x:c r="L95" s="163"/>
      <x:c r="M95" s="163"/>
      <x:c r="N95" s="163"/>
      <x:c r="O95" s="163"/>
      <x:c r="P95" s="163"/>
      <x:c r="Q95" s="163"/>
      <x:c r="R95" s="163"/>
      <x:c r="S95" s="163"/>
      <x:c r="T95" s="163"/>
      <x:c r="U95" s="163"/>
      <x:c r="V95" s="163"/>
      <x:c r="W95" s="163"/>
      <x:c r="X95" s="163"/>
      <x:c r="Y95" s="163"/>
      <x:c r="Z95" s="163"/>
    </x:row>
    <x:row r="96" ht="15" hidden="0" customHeight="1">
      <x:c r="A96" s="163"/>
      <x:c r="B96" s="163"/>
      <x:c r="C96" s="163"/>
      <x:c r="D96" s="163"/>
      <x:c r="E96" s="163"/>
      <x:c r="F96" s="163"/>
      <x:c r="G96" s="163"/>
      <x:c r="H96" s="163"/>
      <x:c r="I96" s="163"/>
      <x:c r="J96" s="163"/>
      <x:c r="K96" s="163"/>
      <x:c r="L96" s="163"/>
      <x:c r="M96" s="163"/>
      <x:c r="N96" s="163"/>
      <x:c r="O96" s="163"/>
      <x:c r="P96" s="163"/>
      <x:c r="Q96" s="163"/>
      <x:c r="R96" s="163"/>
      <x:c r="S96" s="163"/>
      <x:c r="T96" s="163"/>
      <x:c r="U96" s="163"/>
      <x:c r="V96" s="163"/>
      <x:c r="W96" s="163"/>
      <x:c r="X96" s="163"/>
      <x:c r="Y96" s="163"/>
      <x:c r="Z96" s="163"/>
    </x:row>
    <x:row r="97" ht="15" hidden="0" customHeight="1">
      <x:c r="A97" s="163"/>
      <x:c r="B97" s="163"/>
      <x:c r="C97" s="163"/>
      <x:c r="D97" s="163"/>
      <x:c r="E97" s="163"/>
      <x:c r="F97" s="163"/>
      <x:c r="G97" s="163"/>
      <x:c r="H97" s="163"/>
      <x:c r="I97" s="163"/>
      <x:c r="J97" s="163"/>
      <x:c r="K97" s="163"/>
      <x:c r="L97" s="163"/>
      <x:c r="M97" s="163"/>
      <x:c r="N97" s="163"/>
      <x:c r="O97" s="163"/>
      <x:c r="P97" s="163"/>
      <x:c r="Q97" s="163"/>
      <x:c r="R97" s="163"/>
      <x:c r="S97" s="163"/>
      <x:c r="T97" s="163"/>
      <x:c r="U97" s="163"/>
      <x:c r="V97" s="163"/>
      <x:c r="W97" s="163"/>
      <x:c r="X97" s="163"/>
      <x:c r="Y97" s="163"/>
      <x:c r="Z97" s="163"/>
    </x:row>
    <x:row r="98" ht="15" hidden="0" customHeight="1">
      <x:c r="A98" s="163"/>
      <x:c r="B98" s="163"/>
      <x:c r="C98" s="163"/>
      <x:c r="D98" s="163"/>
      <x:c r="E98" s="163"/>
      <x:c r="F98" s="163"/>
      <x:c r="G98" s="163"/>
      <x:c r="H98" s="163"/>
      <x:c r="I98" s="163"/>
      <x:c r="J98" s="163"/>
      <x:c r="K98" s="163"/>
      <x:c r="L98" s="163"/>
      <x:c r="M98" s="163"/>
      <x:c r="N98" s="163"/>
      <x:c r="O98" s="163"/>
      <x:c r="P98" s="163"/>
      <x:c r="Q98" s="163"/>
      <x:c r="R98" s="163"/>
      <x:c r="S98" s="163"/>
      <x:c r="T98" s="163"/>
      <x:c r="U98" s="163"/>
      <x:c r="V98" s="163"/>
      <x:c r="W98" s="163"/>
      <x:c r="X98" s="163"/>
      <x:c r="Y98" s="163"/>
      <x:c r="Z98" s="163"/>
    </x:row>
    <x:row r="99" ht="15" hidden="0" customHeight="1">
      <x:c r="A99" s="163"/>
      <x:c r="B99" s="163"/>
      <x:c r="C99" s="163"/>
      <x:c r="D99" s="163"/>
      <x:c r="E99" s="163"/>
      <x:c r="F99" s="163"/>
      <x:c r="G99" s="163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63"/>
      <x:c r="S99" s="163"/>
      <x:c r="T99" s="163"/>
      <x:c r="U99" s="163"/>
      <x:c r="V99" s="163"/>
      <x:c r="W99" s="163"/>
      <x:c r="X99" s="163"/>
      <x:c r="Y99" s="163"/>
      <x:c r="Z99" s="163"/>
    </x:row>
    <x:row r="100" ht="15" hidden="0" customHeight="1">
      <x:c r="A100" s="163"/>
      <x:c r="B100" s="163"/>
      <x:c r="C100" s="163"/>
      <x:c r="D100" s="163"/>
      <x:c r="E100" s="163"/>
      <x:c r="F100" s="163"/>
      <x:c r="G100" s="163"/>
      <x:c r="H100" s="163"/>
      <x:c r="I100" s="163"/>
      <x:c r="J100" s="163"/>
      <x:c r="K100" s="163"/>
      <x:c r="L100" s="163"/>
      <x:c r="M100" s="163"/>
      <x:c r="N100" s="163"/>
      <x:c r="O100" s="163"/>
      <x:c r="P100" s="163"/>
      <x:c r="Q100" s="163"/>
      <x:c r="R100" s="163"/>
      <x:c r="S100" s="163"/>
      <x:c r="T100" s="163"/>
      <x:c r="U100" s="163"/>
      <x:c r="V100" s="163"/>
      <x:c r="W100" s="163"/>
      <x:c r="X100" s="163"/>
      <x:c r="Y100" s="163"/>
      <x:c r="Z100" s="163"/>
    </x:row>
  </x:sheetData>
  <x:mergeCells>
    <x:mergeCell ref="A1:H1"/>
    <x:mergeCell ref="A2:H2"/>
    <x:mergeCell ref="A4:D4"/>
    <x:mergeCell ref="E4:H4"/>
    <x:mergeCell ref="A13:H13"/>
    <x:mergeCell ref="A14:H17"/>
    <x:mergeCell ref="A19:H19"/>
    <x:mergeCell ref="B20:H20"/>
    <x:mergeCell ref="B21:H21"/>
    <x:mergeCell ref="B22:H22"/>
    <x:mergeCell ref="B23:H23"/>
    <x:mergeCell ref="B24:H24"/>
    <x:mergeCell ref="A26:H26"/>
    <x:mergeCell ref="C28:H28"/>
    <x:mergeCell ref="C29:H29"/>
    <x:mergeCell ref="C30:H30"/>
    <x:mergeCell ref="C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0" hidden="0" customWidth="1"/>
    <x:col min="4" max="4" width="40" hidden="0" customWidth="1"/>
    <x:col min="5" max="5" width="22" hidden="0" customWidth="1"/>
    <x:col min="6" max="6" width="24" hidden="0" customWidth="1"/>
  </x:cols>
  <x:sheetData>
    <x:row r="1" ht="16.799999237060547" hidden="0" customHeight="1">
      <x:c r="A1" s="27" t="str">
        <x:v>Baker Hughes / Chart Industries — M&amp;A Valuation &amp; Fairness Reconstruction</x:v>
      </x:c>
      <x:c r="B1" s="27"/>
      <x:c r="C1" s="27"/>
      <x:c r="D1" s="27"/>
      <x:c r="E1" s="27"/>
      <x:c r="F1" s="27"/>
      <x:c r="G1" s="163"/>
      <x:c r="H1" s="163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 ht="15" hidden="0" customHeight="1">
      <x:c r="A2" s="186" t="str">
        <x:v>Private analytical model | $ in millions except per-share data | Hardcodes blue; formulas black/green</x:v>
      </x:c>
      <x:c r="B2" s="186" t="str"/>
      <x:c r="C2" s="186" t="str"/>
      <x:c r="D2" s="186" t="str"/>
      <x:c r="E2" s="186" t="str"/>
      <x:c r="F2" s="186" t="str"/>
      <x:c r="G2" s="163"/>
      <x:c r="H2" s="163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 ht="15" hidden="0" customHeight="1">
      <x:c r="A3" s="163"/>
      <x:c r="B3" s="163"/>
      <x:c r="C3" s="163"/>
      <x:c r="D3" s="163"/>
      <x:c r="E3" s="163"/>
      <x:c r="F3" s="163"/>
      <x:c r="G3" s="163"/>
      <x:c r="H3" s="163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 ht="15" hidden="0" customHeight="1">
      <x:c r="A4" s="36" t="str">
        <x:v>TRANSACTION FACTS</x:v>
      </x:c>
      <x:c r="B4" s="36"/>
      <x:c r="C4" s="36"/>
      <x:c r="D4" s="36"/>
      <x:c r="E4" s="36"/>
      <x:c r="F4" s="36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 ht="15" hidden="0" customHeight="1">
      <x:c r="A5" s="40" t="str">
        <x:v>Offer price / share</x:v>
      </x:c>
      <x:c r="B5" s="48" t="n">
        <x:v>210</x:v>
      </x:c>
      <x:c r="C5" s="56" t="str">
        <x:v>$/share</x:v>
      </x:c>
      <x:c r="D5" s="56" t="str">
        <x:v>S2/S3</x:v>
      </x:c>
      <x:c r="E5" s="56" t="str">
        <x:v>Reported</x:v>
      </x:c>
      <x:c r="F5" s="56" t="str">
        <x:v>All-cash offer</x:v>
      </x:c>
      <x:c r="G5" s="163"/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 ht="15" hidden="0" customHeight="1">
      <x:c r="A6" s="187" t="str">
        <x:v>Equity value</x:v>
      </x:c>
      <x:c r="B6" s="188" t="n">
        <x:v>10100</x:v>
      </x:c>
      <x:c r="C6" s="189" t="str">
        <x:v>$mm</x:v>
      </x:c>
      <x:c r="D6" s="189" t="str">
        <x:v>S3</x:v>
      </x:c>
      <x:c r="E6" s="189" t="str">
        <x:v>Reported (rounded)</x:v>
      </x:c>
      <x:c r="F6" s="189" t="str">
        <x:v>Proxy disclosure</x:v>
      </x:c>
      <x:c r="G6" s="163"/>
      <x:c r="H6" s="163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 ht="15" hidden="0" customHeight="1">
      <x:c r="A7" s="187" t="str">
        <x:v>Enterprise value</x:v>
      </x:c>
      <x:c r="B7" s="188" t="n">
        <x:v>13600</x:v>
      </x:c>
      <x:c r="C7" s="189" t="str">
        <x:v>$mm</x:v>
      </x:c>
      <x:c r="D7" s="189" t="str">
        <x:v>S2/S3</x:v>
      </x:c>
      <x:c r="E7" s="189" t="str">
        <x:v>Reported (rounded)</x:v>
      </x:c>
      <x:c r="F7" s="189" t="str">
        <x:v>Headline transaction EV</x:v>
      </x:c>
      <x:c r="G7" s="163"/>
      <x:c r="H7" s="163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 ht="15" hidden="0" customHeight="1">
      <x:c r="A8" s="187" t="str">
        <x:v>Premium vs unaffected pre-Flowserve-announcement price</x:v>
      </x:c>
      <x:c r="B8" s="190" t="n">
        <x:v>0.3</x:v>
      </x:c>
      <x:c r="C8" s="189" t="str">
        <x:v>%</x:v>
      </x:c>
      <x:c r="D8" s="189" t="str">
        <x:v>S3</x:v>
      </x:c>
      <x:c r="E8" s="189" t="str">
        <x:v>Reported</x:v>
      </x:c>
      <x:c r="F8" s="189" t="str">
        <x:v>Proxy disclosure</x:v>
      </x:c>
      <x:c r="G8" s="163"/>
      <x:c r="H8" s="163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 ht="15" hidden="0" customHeight="1">
      <x:c r="A9" s="187" t="str">
        <x:v>Annualized cost synergies by end of Year 3</x:v>
      </x:c>
      <x:c r="B9" s="188" t="n">
        <x:v>325</x:v>
      </x:c>
      <x:c r="C9" s="189" t="str">
        <x:v>$mm</x:v>
      </x:c>
      <x:c r="D9" s="189" t="str">
        <x:v>S2/S7</x:v>
      </x:c>
      <x:c r="E9" s="189" t="str">
        <x:v>Reported</x:v>
      </x:c>
      <x:c r="F9" s="189" t="str">
        <x:v>Commercial synergy upside excluded</x:v>
      </x:c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 ht="15" hidden="0" customHeight="1">
      <x:c r="A10" s="187" t="str">
        <x:v>Headline fully synergized 2025E EV / EBITDA</x:v>
      </x:c>
      <x:c r="B10" s="191" t="n">
        <x:v>9</x:v>
      </x:c>
      <x:c r="C10" s="189" t="str">
        <x:v>x</x:v>
      </x:c>
      <x:c r="D10" s="189" t="str">
        <x:v>S2</x:v>
      </x:c>
      <x:c r="E10" s="189" t="str">
        <x:v>Reported</x:v>
      </x:c>
      <x:c r="F10" s="189" t="str">
        <x:v>Company announcement</x:v>
      </x:c>
      <x:c r="G10" s="163"/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 ht="15" hidden="0" customHeight="1">
      <x:c r="A11" s="187" t="str">
        <x:v>BKR projected net leverage at close</x:v>
      </x:c>
      <x:c r="B11" s="191" t="n">
        <x:v>2.25</x:v>
      </x:c>
      <x:c r="C11" s="189" t="str">
        <x:v>x</x:v>
      </x:c>
      <x:c r="D11" s="189" t="str">
        <x:v>S2</x:v>
      </x:c>
      <x:c r="E11" s="189" t="str">
        <x:v>Reported</x:v>
      </x:c>
      <x:c r="F11" s="189" t="str">
        <x:v>Company announcement</x:v>
      </x:c>
      <x:c r="G11" s="163"/>
      <x:c r="H11" s="16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 ht="15" hidden="0" customHeight="1">
      <x:c r="A12" s="187" t="str">
        <x:v>BKR target net leverage within 24 months</x:v>
      </x:c>
      <x:c r="B12" s="191" t="n">
        <x:v>1.25</x:v>
      </x:c>
      <x:c r="C12" s="189" t="str">
        <x:v>x</x:v>
      </x:c>
      <x:c r="D12" s="189" t="str">
        <x:v>S2</x:v>
      </x:c>
      <x:c r="E12" s="189" t="str">
        <x:v>Midpoint of 1.0x–1.5x target</x:v>
      </x:c>
      <x:c r="F12" s="189" t="str">
        <x:v>Used only as reference</x:v>
      </x:c>
      <x:c r="G12" s="163"/>
      <x:c r="H12" s="16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 ht="15" hidden="0" customHeight="1">
      <x:c r="A13" s="163"/>
      <x:c r="B13" s="163"/>
      <x:c r="C13" s="163"/>
      <x:c r="D13" s="163"/>
      <x:c r="E13" s="163"/>
      <x:c r="F13" s="163"/>
      <x:c r="G13" s="163"/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 ht="15" hidden="0" customHeight="1">
      <x:c r="A14" s="36" t="str">
        <x:v>CHART INDUSTRIES — HISTORICAL 2024</x:v>
      </x:c>
      <x:c r="B14" s="36"/>
      <x:c r="C14" s="36"/>
      <x:c r="D14" s="36"/>
      <x:c r="E14" s="36"/>
      <x:c r="F14" s="36"/>
      <x:c r="G14" s="163"/>
      <x:c r="H14" s="163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 ht="15" hidden="0" customHeight="1">
      <x:c r="A15" s="163" t="str">
        <x:v>Sales</x:v>
      </x:c>
      <x:c r="B15" s="192" t="n">
        <x:v>4160.3</x:v>
      </x:c>
      <x:c r="C15" s="189" t="str">
        <x:v>$mm</x:v>
      </x:c>
      <x:c r="D15" s="189" t="str">
        <x:v>S4</x:v>
      </x:c>
      <x:c r="E15" s="189" t="str">
        <x:v>Reported</x:v>
      </x:c>
      <x:c r="F15" s="189" t="str"/>
      <x:c r="G15" s="163"/>
      <x:c r="H15" s="163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 ht="15" hidden="0" customHeight="1">
      <x:c r="A16" s="163" t="str">
        <x:v>Operating income</x:v>
      </x:c>
      <x:c r="B16" s="192" t="n">
        <x:v>647.5</x:v>
      </x:c>
      <x:c r="C16" s="189" t="str">
        <x:v>$mm</x:v>
      </x:c>
      <x:c r="D16" s="189" t="str">
        <x:v>S4</x:v>
      </x:c>
      <x:c r="E16" s="189" t="str">
        <x:v>Reported</x:v>
      </x:c>
      <x:c r="F16" s="189" t="str"/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 ht="15" hidden="0" customHeight="1">
      <x:c r="A17" s="163" t="str">
        <x:v>Depreciation</x:v>
      </x:c>
      <x:c r="B17" s="192" t="n">
        <x:v>76</x:v>
      </x:c>
      <x:c r="C17" s="189" t="str">
        <x:v>$mm</x:v>
      </x:c>
      <x:c r="D17" s="189" t="str">
        <x:v>S4</x:v>
      </x:c>
      <x:c r="E17" s="189" t="str">
        <x:v>Reported</x:v>
      </x:c>
      <x:c r="F17" s="189" t="str"/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5" hidden="0" customHeight="1">
      <x:c r="A18" s="163" t="str">
        <x:v>Amortization</x:v>
      </x:c>
      <x:c r="B18" s="192" t="n">
        <x:v>193.9</x:v>
      </x:c>
      <x:c r="C18" s="189" t="str">
        <x:v>$mm</x:v>
      </x:c>
      <x:c r="D18" s="189" t="str">
        <x:v>S4</x:v>
      </x:c>
      <x:c r="E18" s="189" t="str">
        <x:v>Reported</x:v>
      </x:c>
      <x:c r="F18" s="189" t="str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 ht="15" hidden="0" customHeight="1">
      <x:c r="A19" s="163" t="str">
        <x:v>Cash flow from continuing operations</x:v>
      </x:c>
      <x:c r="B19" s="192" t="n">
        <x:v>508.7</x:v>
      </x:c>
      <x:c r="C19" s="189" t="str">
        <x:v>$mm</x:v>
      </x:c>
      <x:c r="D19" s="189" t="str">
        <x:v>S4</x:v>
      </x:c>
      <x:c r="E19" s="189" t="str">
        <x:v>Reported</x:v>
      </x:c>
      <x:c r="F19" s="189" t="str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 ht="15" hidden="0" customHeight="1">
      <x:c r="A20" s="163" t="str">
        <x:v>Capital expenditures</x:v>
      </x:c>
      <x:c r="B20" s="192" t="n">
        <x:v>120.8</x:v>
      </x:c>
      <x:c r="C20" s="189" t="str">
        <x:v>$mm</x:v>
      </x:c>
      <x:c r="D20" s="189" t="str">
        <x:v>S4</x:v>
      </x:c>
      <x:c r="E20" s="189" t="str">
        <x:v>Reported</x:v>
      </x:c>
      <x:c r="F20" s="189" t="str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 ht="15" hidden="0" customHeight="1">
      <x:c r="A21" s="163" t="str">
        <x:v>Accounts receivable</x:v>
      </x:c>
      <x:c r="B21" s="192" t="n">
        <x:v>752.3</x:v>
      </x:c>
      <x:c r="C21" s="189" t="str">
        <x:v>$mm</x:v>
      </x:c>
      <x:c r="D21" s="189" t="str">
        <x:v>S4</x:v>
      </x:c>
      <x:c r="E21" s="189" t="str">
        <x:v>Reported</x:v>
      </x:c>
      <x:c r="F21" s="189" t="str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 ht="15" hidden="0" customHeight="1">
      <x:c r="A22" s="163" t="str">
        <x:v>Inventory</x:v>
      </x:c>
      <x:c r="B22" s="192" t="n">
        <x:v>490.5</x:v>
      </x:c>
      <x:c r="C22" s="189" t="str">
        <x:v>$mm</x:v>
      </x:c>
      <x:c r="D22" s="189" t="str">
        <x:v>S4</x:v>
      </x:c>
      <x:c r="E22" s="189" t="str">
        <x:v>Reported</x:v>
      </x:c>
      <x:c r="F22" s="189" t="str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 ht="15" hidden="0" customHeight="1">
      <x:c r="A23" s="163" t="str">
        <x:v>Unbilled contract revenue</x:v>
      </x:c>
      <x:c r="B23" s="192" t="n">
        <x:v>735.1</x:v>
      </x:c>
      <x:c r="C23" s="189" t="str">
        <x:v>$mm</x:v>
      </x:c>
      <x:c r="D23" s="189" t="str">
        <x:v>S4</x:v>
      </x:c>
      <x:c r="E23" s="189" t="str">
        <x:v>Reported</x:v>
      </x:c>
      <x:c r="F23" s="189" t="str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 ht="15" hidden="0" customHeight="1">
      <x:c r="A24" s="163" t="str">
        <x:v>Accounts payable</x:v>
      </x:c>
      <x:c r="B24" s="192" t="n">
        <x:v>1058.9</x:v>
      </x:c>
      <x:c r="C24" s="189" t="str">
        <x:v>$mm</x:v>
      </x:c>
      <x:c r="D24" s="189" t="str">
        <x:v>S4</x:v>
      </x:c>
      <x:c r="E24" s="189" t="str">
        <x:v>Reported</x:v>
      </x:c>
      <x:c r="F24" s="189" t="str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 ht="15" hidden="0" customHeight="1">
      <x:c r="A25" s="163" t="str">
        <x:v>Customer advances / billings in excess</x:v>
      </x:c>
      <x:c r="B25" s="192" t="n">
        <x:v>362.2</x:v>
      </x:c>
      <x:c r="C25" s="189" t="str">
        <x:v>$mm</x:v>
      </x:c>
      <x:c r="D25" s="189" t="str">
        <x:v>S4</x:v>
      </x:c>
      <x:c r="E25" s="189" t="str">
        <x:v>Reported</x:v>
      </x:c>
      <x:c r="F25" s="189" t="str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 ht="15" hidden="0" customHeight="1">
      <x:c r="A26" s="163" t="str">
        <x:v>Income tax expense</x:v>
      </x:c>
      <x:c r="B26" s="192" t="n">
        <x:v>78.6</x:v>
      </x:c>
      <x:c r="C26" s="189" t="str">
        <x:v>$mm</x:v>
      </x:c>
      <x:c r="D26" s="189" t="str">
        <x:v>S4</x:v>
      </x:c>
      <x:c r="E26" s="189" t="str">
        <x:v>Reported</x:v>
      </x:c>
      <x:c r="F26" s="189" t="str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 ht="15" hidden="0" customHeight="1">
      <x:c r="A27" s="163" t="str">
        <x:v>Pre-tax income</x:v>
      </x:c>
      <x:c r="B27" s="192" t="n">
        <x:v>318.5</x:v>
      </x:c>
      <x:c r="C27" s="189" t="str">
        <x:v>$mm</x:v>
      </x:c>
      <x:c r="D27" s="189" t="str">
        <x:v>S4</x:v>
      </x:c>
      <x:c r="E27" s="189" t="str">
        <x:v>Reported</x:v>
      </x:c>
      <x:c r="F27" s="189" t="str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 ht="15" hidden="0" customHeight="1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 ht="15" hidden="0" customHeight="1">
      <x:c r="A29" s="36" t="str">
        <x:v>CHART MANAGEMENT PROJECTIONS DISCLOSED IN MERGER PROXY</x:v>
      </x:c>
      <x:c r="B29" s="36"/>
      <x:c r="C29" s="36"/>
      <x:c r="D29" s="36"/>
      <x:c r="E29" s="36"/>
      <x:c r="F29" s="36"/>
      <x:c r="G29" s="36"/>
      <x:c r="H29" s="36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 ht="15" hidden="0" customHeight="1">
      <x:c r="A30" s="6" t="str">
        <x:v>Metric</x:v>
      </x:c>
      <x:c r="B30" s="6" t="str">
        <x:v>2025E</x:v>
      </x:c>
      <x:c r="C30" s="6" t="str">
        <x:v>2026E</x:v>
      </x:c>
      <x:c r="D30" s="6" t="str">
        <x:v>2027E</x:v>
      </x:c>
      <x:c r="E30" s="6" t="str">
        <x:v>2028E</x:v>
      </x:c>
      <x:c r="F30" s="6" t="str">
        <x:v>2029E</x:v>
      </x:c>
      <x:c r="G30" s="6" t="str">
        <x:v>2030E</x:v>
      </x:c>
      <x:c r="H30" s="6" t="str">
        <x:v>Source</x:v>
      </x:c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 ht="15" hidden="0" customHeight="1">
      <x:c r="A31" s="163" t="str">
        <x:v>Sales</x:v>
      </x:c>
      <x:c r="B31" s="188" t="n">
        <x:v>4645</x:v>
      </x:c>
      <x:c r="C31" s="188" t="n">
        <x:v>5085</x:v>
      </x:c>
      <x:c r="D31" s="188" t="n">
        <x:v>5433</x:v>
      </x:c>
      <x:c r="E31" s="188" t="n">
        <x:v>5731</x:v>
      </x:c>
      <x:c r="F31" s="188" t="n">
        <x:v>6034</x:v>
      </x:c>
      <x:c r="G31" s="188" t="n">
        <x:v>6354</x:v>
      </x:c>
      <x:c r="H31" s="189" t="str">
        <x:v>S3</x:v>
      </x:c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 ht="15" hidden="0" customHeight="1">
      <x:c r="A32" s="163" t="str">
        <x:v>EBITDA</x:v>
      </x:c>
      <x:c r="B32" s="188" t="n">
        <x:v>1146</x:v>
      </x:c>
      <x:c r="C32" s="188" t="n">
        <x:v>1286</x:v>
      </x:c>
      <x:c r="D32" s="188" t="n">
        <x:v>1395</x:v>
      </x:c>
      <x:c r="E32" s="188" t="n">
        <x:v>1490</x:v>
      </x:c>
      <x:c r="F32" s="188" t="n">
        <x:v>1589</x:v>
      </x:c>
      <x:c r="G32" s="188" t="n">
        <x:v>1673</x:v>
      </x:c>
      <x:c r="H32" s="189" t="str">
        <x:v>S3</x:v>
      </x:c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 ht="15" hidden="0" customHeight="1">
      <x:c r="A33" s="163" t="str">
        <x:v>Capital expenditures</x:v>
      </x:c>
      <x:c r="B33" s="188" t="n">
        <x:v>115</x:v>
      </x:c>
      <x:c r="C33" s="188" t="n">
        <x:v>109</x:v>
      </x:c>
      <x:c r="D33" s="188" t="n">
        <x:v>113</x:v>
      </x:c>
      <x:c r="E33" s="188" t="n">
        <x:v>112</x:v>
      </x:c>
      <x:c r="F33" s="188" t="n">
        <x:v>106</x:v>
      </x:c>
      <x:c r="G33" s="188"/>
      <x:c r="H33" s="189" t="str">
        <x:v>S3</x:v>
      </x:c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 ht="15" hidden="0" customHeight="1">
      <x:c r="A34" s="163" t="str">
        <x:v>Proxy FCF (CFO - CapEx)</x:v>
      </x:c>
      <x:c r="B34" s="188" t="n">
        <x:v>507</x:v>
      </x:c>
      <x:c r="C34" s="188" t="n">
        <x:v>701</x:v>
      </x:c>
      <x:c r="D34" s="188" t="n">
        <x:v>832</x:v>
      </x:c>
      <x:c r="E34" s="188" t="n">
        <x:v>930</x:v>
      </x:c>
      <x:c r="F34" s="188" t="n">
        <x:v>1013</x:v>
      </x:c>
      <x:c r="G34" s="188"/>
      <x:c r="H34" s="189" t="str">
        <x:v>S3</x:v>
      </x:c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 ht="15" hidden="0" customHeight="1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 ht="15" hidden="0" customHeight="1">
      <x:c r="A36" s="36" t="str">
        <x:v>MODELLING ASSUMPTIONS / DERIVED ITEMS</x:v>
      </x:c>
      <x:c r="B36" s="36"/>
      <x:c r="C36" s="36"/>
      <x:c r="D36" s="36"/>
      <x:c r="E36" s="36"/>
      <x:c r="F36" s="36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 ht="15" hidden="0" customHeight="1">
      <x:c r="A37" s="163" t="str">
        <x:v>Normalized tax rate</x:v>
      </x:c>
      <x:c r="B37" s="193" t="n">
        <x:f>B26/B27</x:f>
        <x:v>0.2467817896389325</x:v>
      </x:c>
      <x:c r="C37" s="189" t="str">
        <x:v>%</x:v>
      </x:c>
      <x:c r="D37" s="189" t="str">
        <x:v>Derived from 2024 tax expense / pre-tax income</x:v>
      </x:c>
      <x:c r="E37" s="189" t="str">
        <x:v>Formula</x:v>
      </x:c>
      <x:c r="F37" s="189" t="str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 ht="15" hidden="0" customHeight="1">
      <x:c r="A38" s="163" t="str">
        <x:v>D&amp;A as % of sales</x:v>
      </x:c>
      <x:c r="B38" s="193" t="n">
        <x:f>(B17+B18)/B15</x:f>
        <x:v>0.06487512919741364</x:v>
      </x:c>
      <x:c r="C38" s="189" t="str">
        <x:v>%</x:v>
      </x:c>
      <x:c r="D38" s="189" t="str">
        <x:v>Derived from 2024 depreciation + amortization / sales</x:v>
      </x:c>
      <x:c r="E38" s="189" t="str">
        <x:v>Formula</x:v>
      </x:c>
      <x:c r="F38" s="189" t="str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 ht="15" hidden="0" customHeight="1">
      <x:c r="A39" s="163" t="str">
        <x:v>Operating NWC as % of sales</x:v>
      </x:c>
      <x:c r="B39" s="193" t="n">
        <x:f>(B21+B22+B23-B24-B25)/B15</x:f>
        <x:v>0.1338365021753239</x:v>
      </x:c>
      <x:c r="C39" s="189" t="str">
        <x:v>%</x:v>
      </x:c>
      <x:c r="D39" s="189" t="str">
        <x:v>(AR + Inventory + Unbilled - AP - Customer advances) / Sales</x:v>
      </x:c>
      <x:c r="E39" s="189" t="str">
        <x:v>Formula</x:v>
      </x:c>
      <x:c r="F39" s="189" t="str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 ht="15" hidden="0" customHeight="1">
      <x:c r="A40" s="163" t="str">
        <x:v>Approx. transaction net debt</x:v>
      </x:c>
      <x:c r="B40" s="194" t="n">
        <x:f>B7-B6</x:f>
        <x:v>3500</x:v>
      </x:c>
      <x:c r="C40" s="189" t="str">
        <x:v>$mm</x:v>
      </x:c>
      <x:c r="D40" s="189" t="str">
        <x:v>EV - Equity value; rounded transaction values</x:v>
      </x:c>
      <x:c r="E40" s="189" t="str">
        <x:v>Formula</x:v>
      </x:c>
      <x:c r="F40" s="189" t="str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 ht="15" hidden="0" customHeight="1">
      <x:c r="A41" s="163" t="str">
        <x:v>Approx. diluted shares</x:v>
      </x:c>
      <x:c r="B41" s="195" t="n">
        <x:f>B6/B5</x:f>
        <x:v>48.095238095238095</x:v>
      </x:c>
      <x:c r="C41" s="189" t="str">
        <x:v>mm</x:v>
      </x:c>
      <x:c r="D41" s="189" t="str">
        <x:v>Equity value / offer price; rounded transaction values</x:v>
      </x:c>
      <x:c r="E41" s="189" t="str">
        <x:v>Formula</x:v>
      </x:c>
      <x:c r="F41" s="189" t="str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 ht="15" hidden="0" customHeight="1">
      <x:c r="A42" s="163" t="str">
        <x:v>Base WACC</x:v>
      </x:c>
      <x:c r="B42" s="196" t="n">
        <x:v>0.13</x:v>
      </x:c>
      <x:c r="C42" s="189" t="str">
        <x:v>%</x:v>
      </x:c>
      <x:c r="D42" s="189" t="str">
        <x:v>Within Wells Fargo disclosed 12%–14% DCF range</x:v>
      </x:c>
      <x:c r="E42" s="189" t="str">
        <x:v>Analyst assumption</x:v>
      </x:c>
      <x:c r="F42" s="189" t="str">
        <x:v>Yellow = editable</x:v>
      </x:c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 ht="15" hidden="0" customHeight="1">
      <x:c r="A43" s="163" t="str">
        <x:v>Base terminal EBITDA multiple</x:v>
      </x:c>
      <x:c r="B43" s="197" t="n">
        <x:v>10</x:v>
      </x:c>
      <x:c r="C43" s="189" t="str">
        <x:v>x</x:v>
      </x:c>
      <x:c r="D43" s="189" t="str">
        <x:v>Within Wells Fargo disclosed 9x–11x DCF range</x:v>
      </x:c>
      <x:c r="E43" s="189" t="str">
        <x:v>Analyst assumption</x:v>
      </x:c>
      <x:c r="F43" s="189" t="str">
        <x:v>Yellow = editable</x:v>
      </x:c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 ht="15" hidden="0" customHeight="1">
      <x:c r="A44" s="163" t="str">
        <x:v>2030 CapEx / Sales</x:v>
      </x:c>
      <x:c r="B44" s="193" t="n">
        <x:f>F33/F31</x:f>
        <x:v>0.01756711965528671</x:v>
      </x:c>
      <x:c r="C44" s="189" t="str">
        <x:v>%</x:v>
      </x:c>
      <x:c r="D44" s="189" t="str">
        <x:v>2029 CapEx / 2029 Sales; used only to extend one year</x:v>
      </x:c>
      <x:c r="E44" s="189" t="str">
        <x:v>Formula</x:v>
      </x:c>
      <x:c r="F44" s="189" t="str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 ht="15" hidden="0" customHeight="1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 ht="15" hidden="0" customHeight="1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 ht="15" hidden="0" customHeight="1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 ht="15" hidden="0" customHeight="1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 ht="15" hidden="0" customHeight="1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 ht="15" hidden="0" customHeight="1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 ht="15" hidden="0" customHeight="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 ht="15" hidden="0" customHeight="1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 ht="15" hidden="0" customHeight="1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 ht="15" hidden="0" customHeight="1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 ht="15" hidden="0" customHeight="1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 ht="15" hidden="0" customHeight="1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 ht="15" hidden="0" customHeight="1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 ht="15" hidden="0" customHeight="1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 ht="15" hidden="0" customHeight="1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 ht="15" hidden="0" customHeight="1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  <x:row r="61" ht="15" hidden="0" customHeight="1">
      <x:c r="A61" s="163"/>
      <x:c r="B61" s="163"/>
      <x:c r="C61" s="163"/>
      <x:c r="D61" s="163"/>
      <x:c r="E61" s="163"/>
      <x:c r="F61" s="163"/>
      <x:c r="G61" s="163"/>
      <x:c r="H61" s="163"/>
      <x:c r="I61" s="163"/>
      <x:c r="J61" s="163"/>
      <x:c r="K61" s="163"/>
      <x:c r="L61" s="163"/>
      <x:c r="M61" s="163"/>
      <x:c r="N61" s="163"/>
      <x:c r="O61" s="163"/>
      <x:c r="P61" s="163"/>
      <x:c r="Q61" s="163"/>
      <x:c r="R61" s="163"/>
      <x:c r="S61" s="163"/>
      <x:c r="T61" s="163"/>
      <x:c r="U61" s="163"/>
      <x:c r="V61" s="163"/>
      <x:c r="W61" s="163"/>
      <x:c r="X61" s="163"/>
      <x:c r="Y61" s="163"/>
      <x:c r="Z61" s="163"/>
    </x:row>
    <x:row r="62" ht="15" hidden="0" customHeight="1">
      <x:c r="A62" s="163"/>
      <x:c r="B62" s="163"/>
      <x:c r="C62" s="163"/>
      <x:c r="D62" s="163"/>
      <x:c r="E62" s="163"/>
      <x:c r="F62" s="163"/>
      <x:c r="G62" s="163"/>
      <x:c r="H62" s="163"/>
      <x:c r="I62" s="163"/>
      <x:c r="J62" s="163"/>
      <x:c r="K62" s="163"/>
      <x:c r="L62" s="163"/>
      <x:c r="M62" s="163"/>
      <x:c r="N62" s="163"/>
      <x:c r="O62" s="163"/>
      <x:c r="P62" s="163"/>
      <x:c r="Q62" s="163"/>
      <x:c r="R62" s="163"/>
      <x:c r="S62" s="163"/>
      <x:c r="T62" s="163"/>
      <x:c r="U62" s="163"/>
      <x:c r="V62" s="163"/>
      <x:c r="W62" s="163"/>
      <x:c r="X62" s="163"/>
      <x:c r="Y62" s="163"/>
      <x:c r="Z62" s="163"/>
    </x:row>
    <x:row r="63" ht="15" hidden="0" customHeight="1">
      <x:c r="A63" s="163"/>
      <x:c r="B63" s="163"/>
      <x:c r="C63" s="163"/>
      <x:c r="D63" s="163"/>
      <x:c r="E63" s="163"/>
      <x:c r="F63" s="163"/>
      <x:c r="G63" s="163"/>
      <x:c r="H63" s="163"/>
      <x:c r="I63" s="163"/>
      <x:c r="J63" s="163"/>
      <x:c r="K63" s="163"/>
      <x:c r="L63" s="163"/>
      <x:c r="M63" s="163"/>
      <x:c r="N63" s="163"/>
      <x:c r="O63" s="163"/>
      <x:c r="P63" s="163"/>
      <x:c r="Q63" s="163"/>
      <x:c r="R63" s="163"/>
      <x:c r="S63" s="163"/>
      <x:c r="T63" s="163"/>
      <x:c r="U63" s="163"/>
      <x:c r="V63" s="163"/>
      <x:c r="W63" s="163"/>
      <x:c r="X63" s="163"/>
      <x:c r="Y63" s="163"/>
      <x:c r="Z63" s="163"/>
    </x:row>
    <x:row r="64" ht="15" hidden="0" customHeight="1">
      <x:c r="A64" s="163"/>
      <x:c r="B64" s="163"/>
      <x:c r="C64" s="163"/>
      <x:c r="D64" s="163"/>
      <x:c r="E64" s="163"/>
      <x:c r="F64" s="163"/>
      <x:c r="G64" s="163"/>
      <x:c r="H64" s="163"/>
      <x:c r="I64" s="163"/>
      <x:c r="J64" s="163"/>
      <x:c r="K64" s="163"/>
      <x:c r="L64" s="163"/>
      <x:c r="M64" s="163"/>
      <x:c r="N64" s="163"/>
      <x:c r="O64" s="163"/>
      <x:c r="P64" s="163"/>
      <x:c r="Q64" s="163"/>
      <x:c r="R64" s="163"/>
      <x:c r="S64" s="163"/>
      <x:c r="T64" s="163"/>
      <x:c r="U64" s="163"/>
      <x:c r="V64" s="163"/>
      <x:c r="W64" s="163"/>
      <x:c r="X64" s="163"/>
      <x:c r="Y64" s="163"/>
      <x:c r="Z64" s="163"/>
    </x:row>
    <x:row r="65" ht="15" hidden="0" customHeight="1">
      <x:c r="A65" s="163"/>
      <x:c r="B65" s="163"/>
      <x:c r="C65" s="163"/>
      <x:c r="D65" s="163"/>
      <x:c r="E65" s="163"/>
      <x:c r="F65" s="163"/>
      <x:c r="G65" s="163"/>
      <x:c r="H65" s="163"/>
      <x:c r="I65" s="163"/>
      <x:c r="J65" s="163"/>
      <x:c r="K65" s="163"/>
      <x:c r="L65" s="163"/>
      <x:c r="M65" s="163"/>
      <x:c r="N65" s="163"/>
      <x:c r="O65" s="163"/>
      <x:c r="P65" s="163"/>
      <x:c r="Q65" s="163"/>
      <x:c r="R65" s="163"/>
      <x:c r="S65" s="163"/>
      <x:c r="T65" s="163"/>
      <x:c r="U65" s="163"/>
      <x:c r="V65" s="163"/>
      <x:c r="W65" s="163"/>
      <x:c r="X65" s="163"/>
      <x:c r="Y65" s="163"/>
      <x:c r="Z65" s="163"/>
    </x:row>
    <x:row r="66" ht="15" hidden="0" customHeight="1">
      <x:c r="A66" s="163"/>
      <x:c r="B66" s="163"/>
      <x:c r="C66" s="163"/>
      <x:c r="D66" s="163"/>
      <x:c r="E66" s="163"/>
      <x:c r="F66" s="163"/>
      <x:c r="G66" s="163"/>
      <x:c r="H66" s="163"/>
      <x:c r="I66" s="163"/>
      <x:c r="J66" s="163"/>
      <x:c r="K66" s="163"/>
      <x:c r="L66" s="163"/>
      <x:c r="M66" s="163"/>
      <x:c r="N66" s="163"/>
      <x:c r="O66" s="163"/>
      <x:c r="P66" s="163"/>
      <x:c r="Q66" s="163"/>
      <x:c r="R66" s="163"/>
      <x:c r="S66" s="163"/>
      <x:c r="T66" s="163"/>
      <x:c r="U66" s="163"/>
      <x:c r="V66" s="163"/>
      <x:c r="W66" s="163"/>
      <x:c r="X66" s="163"/>
      <x:c r="Y66" s="163"/>
      <x:c r="Z66" s="163"/>
    </x:row>
    <x:row r="67" ht="15" hidden="0" customHeight="1">
      <x:c r="A67" s="163"/>
      <x:c r="B67" s="163"/>
      <x:c r="C67" s="163"/>
      <x:c r="D67" s="163"/>
      <x:c r="E67" s="163"/>
      <x:c r="F67" s="163"/>
      <x:c r="G67" s="163"/>
      <x:c r="H67" s="163"/>
      <x:c r="I67" s="163"/>
      <x:c r="J67" s="163"/>
      <x:c r="K67" s="163"/>
      <x:c r="L67" s="163"/>
      <x:c r="M67" s="163"/>
      <x:c r="N67" s="163"/>
      <x:c r="O67" s="163"/>
      <x:c r="P67" s="163"/>
      <x:c r="Q67" s="163"/>
      <x:c r="R67" s="163"/>
      <x:c r="S67" s="163"/>
      <x:c r="T67" s="163"/>
      <x:c r="U67" s="163"/>
      <x:c r="V67" s="163"/>
      <x:c r="W67" s="163"/>
      <x:c r="X67" s="163"/>
      <x:c r="Y67" s="163"/>
      <x:c r="Z67" s="163"/>
    </x:row>
    <x:row r="68" ht="15" hidden="0" customHeight="1">
      <x:c r="A68" s="163"/>
      <x:c r="B68" s="163"/>
      <x:c r="C68" s="163"/>
      <x:c r="D68" s="163"/>
      <x:c r="E68" s="163"/>
      <x:c r="F68" s="163"/>
      <x:c r="G68" s="163"/>
      <x:c r="H68" s="163"/>
      <x:c r="I68" s="163"/>
      <x:c r="J68" s="163"/>
      <x:c r="K68" s="163"/>
      <x:c r="L68" s="163"/>
      <x:c r="M68" s="163"/>
      <x:c r="N68" s="163"/>
      <x:c r="O68" s="163"/>
      <x:c r="P68" s="163"/>
      <x:c r="Q68" s="163"/>
      <x:c r="R68" s="163"/>
      <x:c r="S68" s="163"/>
      <x:c r="T68" s="163"/>
      <x:c r="U68" s="163"/>
      <x:c r="V68" s="163"/>
      <x:c r="W68" s="163"/>
      <x:c r="X68" s="163"/>
      <x:c r="Y68" s="163"/>
      <x:c r="Z68" s="163"/>
    </x:row>
    <x:row r="69" ht="15" hidden="0" customHeight="1">
      <x:c r="A69" s="163"/>
      <x:c r="B69" s="163"/>
      <x:c r="C69" s="163"/>
      <x:c r="D69" s="163"/>
      <x:c r="E69" s="163"/>
      <x:c r="F69" s="163"/>
      <x:c r="G69" s="163"/>
      <x:c r="H69" s="163"/>
      <x:c r="I69" s="163"/>
      <x:c r="J69" s="163"/>
      <x:c r="K69" s="163"/>
      <x:c r="L69" s="163"/>
      <x:c r="M69" s="163"/>
      <x:c r="N69" s="163"/>
      <x:c r="O69" s="163"/>
      <x:c r="P69" s="163"/>
      <x:c r="Q69" s="163"/>
      <x:c r="R69" s="163"/>
      <x:c r="S69" s="163"/>
      <x:c r="T69" s="163"/>
      <x:c r="U69" s="163"/>
      <x:c r="V69" s="163"/>
      <x:c r="W69" s="163"/>
      <x:c r="X69" s="163"/>
      <x:c r="Y69" s="163"/>
      <x:c r="Z69" s="163"/>
    </x:row>
    <x:row r="70" ht="15" hidden="0" customHeight="1">
      <x:c r="A70" s="163"/>
      <x:c r="B70" s="163"/>
      <x:c r="C70" s="163"/>
      <x:c r="D70" s="163"/>
      <x:c r="E70" s="163"/>
      <x:c r="F70" s="163"/>
      <x:c r="G70" s="163"/>
      <x:c r="H70" s="163"/>
      <x:c r="I70" s="163"/>
      <x:c r="J70" s="163"/>
      <x:c r="K70" s="163"/>
      <x:c r="L70" s="163"/>
      <x:c r="M70" s="163"/>
      <x:c r="N70" s="163"/>
      <x:c r="O70" s="163"/>
      <x:c r="P70" s="163"/>
      <x:c r="Q70" s="163"/>
      <x:c r="R70" s="163"/>
      <x:c r="S70" s="163"/>
      <x:c r="T70" s="163"/>
      <x:c r="U70" s="163"/>
      <x:c r="V70" s="163"/>
      <x:c r="W70" s="163"/>
      <x:c r="X70" s="163"/>
      <x:c r="Y70" s="163"/>
      <x:c r="Z70" s="163"/>
    </x:row>
    <x:row r="71" ht="15" hidden="0" customHeight="1">
      <x:c r="A71" s="163"/>
      <x:c r="B71" s="163"/>
      <x:c r="C71" s="163"/>
      <x:c r="D71" s="163"/>
      <x:c r="E71" s="163"/>
      <x:c r="F71" s="163"/>
      <x:c r="G71" s="163"/>
      <x:c r="H71" s="163"/>
      <x:c r="I71" s="163"/>
      <x:c r="J71" s="163"/>
      <x:c r="K71" s="163"/>
      <x:c r="L71" s="163"/>
      <x:c r="M71" s="163"/>
      <x:c r="N71" s="163"/>
      <x:c r="O71" s="163"/>
      <x:c r="P71" s="163"/>
      <x:c r="Q71" s="163"/>
      <x:c r="R71" s="163"/>
      <x:c r="S71" s="163"/>
      <x:c r="T71" s="163"/>
      <x:c r="U71" s="163"/>
      <x:c r="V71" s="163"/>
      <x:c r="W71" s="163"/>
      <x:c r="X71" s="163"/>
      <x:c r="Y71" s="163"/>
      <x:c r="Z71" s="163"/>
    </x:row>
    <x:row r="72" ht="15" hidden="0" customHeight="1">
      <x:c r="A72" s="163"/>
      <x:c r="B72" s="163"/>
      <x:c r="C72" s="163"/>
      <x:c r="D72" s="163"/>
      <x:c r="E72" s="163"/>
      <x:c r="F72" s="163"/>
      <x:c r="G72" s="163"/>
      <x:c r="H72" s="163"/>
      <x:c r="I72" s="163"/>
      <x:c r="J72" s="163"/>
      <x:c r="K72" s="163"/>
      <x:c r="L72" s="163"/>
      <x:c r="M72" s="163"/>
      <x:c r="N72" s="163"/>
      <x:c r="O72" s="163"/>
      <x:c r="P72" s="163"/>
      <x:c r="Q72" s="163"/>
      <x:c r="R72" s="163"/>
      <x:c r="S72" s="163"/>
      <x:c r="T72" s="163"/>
      <x:c r="U72" s="163"/>
      <x:c r="V72" s="163"/>
      <x:c r="W72" s="163"/>
      <x:c r="X72" s="163"/>
      <x:c r="Y72" s="163"/>
      <x:c r="Z72" s="163"/>
    </x:row>
    <x:row r="73" ht="15" hidden="0" customHeight="1">
      <x:c r="A73" s="163"/>
      <x:c r="B73" s="163"/>
      <x:c r="C73" s="163"/>
      <x:c r="D73" s="163"/>
      <x:c r="E73" s="163"/>
      <x:c r="F73" s="163"/>
      <x:c r="G73" s="163"/>
      <x:c r="H73" s="163"/>
      <x:c r="I73" s="163"/>
      <x:c r="J73" s="163"/>
      <x:c r="K73" s="163"/>
      <x:c r="L73" s="163"/>
      <x:c r="M73" s="163"/>
      <x:c r="N73" s="163"/>
      <x:c r="O73" s="163"/>
      <x:c r="P73" s="163"/>
      <x:c r="Q73" s="163"/>
      <x:c r="R73" s="163"/>
      <x:c r="S73" s="163"/>
      <x:c r="T73" s="163"/>
      <x:c r="U73" s="163"/>
      <x:c r="V73" s="163"/>
      <x:c r="W73" s="163"/>
      <x:c r="X73" s="163"/>
      <x:c r="Y73" s="163"/>
      <x:c r="Z73" s="163"/>
    </x:row>
    <x:row r="74" ht="15" hidden="0" customHeight="1">
      <x:c r="A74" s="163"/>
      <x:c r="B74" s="163"/>
      <x:c r="C74" s="163"/>
      <x:c r="D74" s="163"/>
      <x:c r="E74" s="163"/>
      <x:c r="F74" s="163"/>
      <x:c r="G74" s="163"/>
      <x:c r="H74" s="163"/>
      <x:c r="I74" s="163"/>
      <x:c r="J74" s="163"/>
      <x:c r="K74" s="163"/>
      <x:c r="L74" s="163"/>
      <x:c r="M74" s="163"/>
      <x:c r="N74" s="163"/>
      <x:c r="O74" s="163"/>
      <x:c r="P74" s="163"/>
      <x:c r="Q74" s="163"/>
      <x:c r="R74" s="163"/>
      <x:c r="S74" s="163"/>
      <x:c r="T74" s="163"/>
      <x:c r="U74" s="163"/>
      <x:c r="V74" s="163"/>
      <x:c r="W74" s="163"/>
      <x:c r="X74" s="163"/>
      <x:c r="Y74" s="163"/>
      <x:c r="Z74" s="163"/>
    </x:row>
    <x:row r="75" ht="15" hidden="0" customHeight="1">
      <x:c r="A75" s="163"/>
      <x:c r="B75" s="163"/>
      <x:c r="C75" s="163"/>
      <x:c r="D75" s="163"/>
      <x:c r="E75" s="163"/>
      <x:c r="F75" s="163"/>
      <x:c r="G75" s="163"/>
      <x:c r="H75" s="163"/>
      <x:c r="I75" s="163"/>
      <x:c r="J75" s="163"/>
      <x:c r="K75" s="163"/>
      <x:c r="L75" s="163"/>
      <x:c r="M75" s="163"/>
      <x:c r="N75" s="163"/>
      <x:c r="O75" s="163"/>
      <x:c r="P75" s="163"/>
      <x:c r="Q75" s="163"/>
      <x:c r="R75" s="163"/>
      <x:c r="S75" s="163"/>
      <x:c r="T75" s="163"/>
      <x:c r="U75" s="163"/>
      <x:c r="V75" s="163"/>
      <x:c r="W75" s="163"/>
      <x:c r="X75" s="163"/>
      <x:c r="Y75" s="163"/>
      <x:c r="Z75" s="163"/>
    </x:row>
    <x:row r="76" ht="15" hidden="0" customHeight="1">
      <x:c r="A76" s="163"/>
      <x:c r="B76" s="163"/>
      <x:c r="C76" s="163"/>
      <x:c r="D76" s="163"/>
      <x:c r="E76" s="163"/>
      <x:c r="F76" s="163"/>
      <x:c r="G76" s="163"/>
      <x:c r="H76" s="163"/>
      <x:c r="I76" s="163"/>
      <x:c r="J76" s="163"/>
      <x:c r="K76" s="163"/>
      <x:c r="L76" s="163"/>
      <x:c r="M76" s="163"/>
      <x:c r="N76" s="163"/>
      <x:c r="O76" s="163"/>
      <x:c r="P76" s="163"/>
      <x:c r="Q76" s="163"/>
      <x:c r="R76" s="163"/>
      <x:c r="S76" s="163"/>
      <x:c r="T76" s="163"/>
      <x:c r="U76" s="163"/>
      <x:c r="V76" s="163"/>
      <x:c r="W76" s="163"/>
      <x:c r="X76" s="163"/>
      <x:c r="Y76" s="163"/>
      <x:c r="Z76" s="163"/>
    </x:row>
    <x:row r="77" ht="15" hidden="0" customHeight="1">
      <x:c r="A77" s="163"/>
      <x:c r="B77" s="163"/>
      <x:c r="C77" s="163"/>
      <x:c r="D77" s="163"/>
      <x:c r="E77" s="163"/>
      <x:c r="F77" s="163"/>
      <x:c r="G77" s="163"/>
      <x:c r="H77" s="163"/>
      <x:c r="I77" s="163"/>
      <x:c r="J77" s="163"/>
      <x:c r="K77" s="163"/>
      <x:c r="L77" s="163"/>
      <x:c r="M77" s="163"/>
      <x:c r="N77" s="163"/>
      <x:c r="O77" s="163"/>
      <x:c r="P77" s="163"/>
      <x:c r="Q77" s="163"/>
      <x:c r="R77" s="163"/>
      <x:c r="S77" s="163"/>
      <x:c r="T77" s="163"/>
      <x:c r="U77" s="163"/>
      <x:c r="V77" s="163"/>
      <x:c r="W77" s="163"/>
      <x:c r="X77" s="163"/>
      <x:c r="Y77" s="163"/>
      <x:c r="Z77" s="163"/>
    </x:row>
    <x:row r="78" ht="15" hidden="0" customHeight="1">
      <x:c r="A78" s="163"/>
      <x:c r="B78" s="163"/>
      <x:c r="C78" s="163"/>
      <x:c r="D78" s="163"/>
      <x:c r="E78" s="163"/>
      <x:c r="F78" s="163"/>
      <x:c r="G78" s="163"/>
      <x:c r="H78" s="163"/>
      <x:c r="I78" s="163"/>
      <x:c r="J78" s="163"/>
      <x:c r="K78" s="163"/>
      <x:c r="L78" s="163"/>
      <x:c r="M78" s="163"/>
      <x:c r="N78" s="163"/>
      <x:c r="O78" s="163"/>
      <x:c r="P78" s="163"/>
      <x:c r="Q78" s="163"/>
      <x:c r="R78" s="163"/>
      <x:c r="S78" s="163"/>
      <x:c r="T78" s="163"/>
      <x:c r="U78" s="163"/>
      <x:c r="V78" s="163"/>
      <x:c r="W78" s="163"/>
      <x:c r="X78" s="163"/>
      <x:c r="Y78" s="163"/>
      <x:c r="Z78" s="163"/>
    </x:row>
    <x:row r="79" ht="15" hidden="0" customHeight="1">
      <x:c r="A79" s="163"/>
      <x:c r="B79" s="163"/>
      <x:c r="C79" s="163"/>
      <x:c r="D79" s="163"/>
      <x:c r="E79" s="163"/>
      <x:c r="F79" s="163"/>
      <x:c r="G79" s="163"/>
      <x:c r="H79" s="163"/>
      <x:c r="I79" s="163"/>
      <x:c r="J79" s="163"/>
      <x:c r="K79" s="163"/>
      <x:c r="L79" s="163"/>
      <x:c r="M79" s="163"/>
      <x:c r="N79" s="163"/>
      <x:c r="O79" s="163"/>
      <x:c r="P79" s="163"/>
      <x:c r="Q79" s="163"/>
      <x:c r="R79" s="163"/>
      <x:c r="S79" s="163"/>
      <x:c r="T79" s="163"/>
      <x:c r="U79" s="163"/>
      <x:c r="V79" s="163"/>
      <x:c r="W79" s="163"/>
      <x:c r="X79" s="163"/>
      <x:c r="Y79" s="163"/>
      <x:c r="Z79" s="163"/>
    </x:row>
    <x:row r="80" ht="15" hidden="0" customHeight="1">
      <x:c r="A80" s="163"/>
      <x:c r="B80" s="163"/>
      <x:c r="C80" s="163"/>
      <x:c r="D80" s="163"/>
      <x:c r="E80" s="163"/>
      <x:c r="F80" s="163"/>
      <x:c r="G80" s="163"/>
      <x:c r="H80" s="163"/>
      <x:c r="I80" s="163"/>
      <x:c r="J80" s="163"/>
      <x:c r="K80" s="163"/>
      <x:c r="L80" s="163"/>
      <x:c r="M80" s="163"/>
      <x:c r="N80" s="163"/>
      <x:c r="O80" s="163"/>
      <x:c r="P80" s="163"/>
      <x:c r="Q80" s="163"/>
      <x:c r="R80" s="163"/>
      <x:c r="S80" s="163"/>
      <x:c r="T80" s="163"/>
      <x:c r="U80" s="163"/>
      <x:c r="V80" s="163"/>
      <x:c r="W80" s="163"/>
      <x:c r="X80" s="163"/>
      <x:c r="Y80" s="163"/>
      <x:c r="Z80" s="163"/>
    </x:row>
    <x:row r="81" ht="15" hidden="0" customHeight="1">
      <x:c r="A81" s="163"/>
      <x:c r="B81" s="163"/>
      <x:c r="C81" s="163"/>
      <x:c r="D81" s="163"/>
      <x:c r="E81" s="163"/>
      <x:c r="F81" s="163"/>
      <x:c r="G81" s="163"/>
      <x:c r="H81" s="163"/>
      <x:c r="I81" s="163"/>
      <x:c r="J81" s="163"/>
      <x:c r="K81" s="163"/>
      <x:c r="L81" s="163"/>
      <x:c r="M81" s="163"/>
      <x:c r="N81" s="163"/>
      <x:c r="O81" s="163"/>
      <x:c r="P81" s="163"/>
      <x:c r="Q81" s="163"/>
      <x:c r="R81" s="163"/>
      <x:c r="S81" s="163"/>
      <x:c r="T81" s="163"/>
      <x:c r="U81" s="163"/>
      <x:c r="V81" s="163"/>
      <x:c r="W81" s="163"/>
      <x:c r="X81" s="163"/>
      <x:c r="Y81" s="163"/>
      <x:c r="Z81" s="163"/>
    </x:row>
    <x:row r="82" ht="15" hidden="0" customHeight="1">
      <x:c r="A82" s="163"/>
      <x:c r="B82" s="163"/>
      <x:c r="C82" s="163"/>
      <x:c r="D82" s="163"/>
      <x:c r="E82" s="163"/>
      <x:c r="F82" s="163"/>
      <x:c r="G82" s="163"/>
      <x:c r="H82" s="163"/>
      <x:c r="I82" s="163"/>
      <x:c r="J82" s="163"/>
      <x:c r="K82" s="163"/>
      <x:c r="L82" s="163"/>
      <x:c r="M82" s="163"/>
      <x:c r="N82" s="163"/>
      <x:c r="O82" s="163"/>
      <x:c r="P82" s="163"/>
      <x:c r="Q82" s="163"/>
      <x:c r="R82" s="163"/>
      <x:c r="S82" s="163"/>
      <x:c r="T82" s="163"/>
      <x:c r="U82" s="163"/>
      <x:c r="V82" s="163"/>
      <x:c r="W82" s="163"/>
      <x:c r="X82" s="163"/>
      <x:c r="Y82" s="163"/>
      <x:c r="Z82" s="163"/>
    </x:row>
    <x:row r="83" ht="15" hidden="0" customHeight="1">
      <x:c r="A83" s="163"/>
      <x:c r="B83" s="163"/>
      <x:c r="C83" s="163"/>
      <x:c r="D83" s="163"/>
      <x:c r="E83" s="163"/>
      <x:c r="F83" s="163"/>
      <x:c r="G83" s="163"/>
      <x:c r="H83" s="163"/>
      <x:c r="I83" s="163"/>
      <x:c r="J83" s="163"/>
      <x:c r="K83" s="163"/>
      <x:c r="L83" s="163"/>
      <x:c r="M83" s="163"/>
      <x:c r="N83" s="163"/>
      <x:c r="O83" s="163"/>
      <x:c r="P83" s="163"/>
      <x:c r="Q83" s="163"/>
      <x:c r="R83" s="163"/>
      <x:c r="S83" s="163"/>
      <x:c r="T83" s="163"/>
      <x:c r="U83" s="163"/>
      <x:c r="V83" s="163"/>
      <x:c r="W83" s="163"/>
      <x:c r="X83" s="163"/>
      <x:c r="Y83" s="163"/>
      <x:c r="Z83" s="163"/>
    </x:row>
    <x:row r="84" ht="15" hidden="0" customHeight="1">
      <x:c r="A84" s="163"/>
      <x:c r="B84" s="163"/>
      <x:c r="C84" s="163"/>
      <x:c r="D84" s="163"/>
      <x:c r="E84" s="163"/>
      <x:c r="F84" s="163"/>
      <x:c r="G84" s="163"/>
      <x:c r="H84" s="163"/>
      <x:c r="I84" s="163"/>
      <x:c r="J84" s="163"/>
      <x:c r="K84" s="163"/>
      <x:c r="L84" s="163"/>
      <x:c r="M84" s="163"/>
      <x:c r="N84" s="163"/>
      <x:c r="O84" s="163"/>
      <x:c r="P84" s="163"/>
      <x:c r="Q84" s="163"/>
      <x:c r="R84" s="163"/>
      <x:c r="S84" s="163"/>
      <x:c r="T84" s="163"/>
      <x:c r="U84" s="163"/>
      <x:c r="V84" s="163"/>
      <x:c r="W84" s="163"/>
      <x:c r="X84" s="163"/>
      <x:c r="Y84" s="163"/>
      <x:c r="Z84" s="163"/>
    </x:row>
    <x:row r="85" ht="15" hidden="0" customHeight="1">
      <x:c r="A85" s="163"/>
      <x:c r="B85" s="163"/>
      <x:c r="C85" s="163"/>
      <x:c r="D85" s="163"/>
      <x:c r="E85" s="163"/>
      <x:c r="F85" s="163"/>
      <x:c r="G85" s="163"/>
      <x:c r="H85" s="163"/>
      <x:c r="I85" s="163"/>
      <x:c r="J85" s="163"/>
      <x:c r="K85" s="163"/>
      <x:c r="L85" s="163"/>
      <x:c r="M85" s="163"/>
      <x:c r="N85" s="163"/>
      <x:c r="O85" s="163"/>
      <x:c r="P85" s="163"/>
      <x:c r="Q85" s="163"/>
      <x:c r="R85" s="163"/>
      <x:c r="S85" s="163"/>
      <x:c r="T85" s="163"/>
      <x:c r="U85" s="163"/>
      <x:c r="V85" s="163"/>
      <x:c r="W85" s="163"/>
      <x:c r="X85" s="163"/>
      <x:c r="Y85" s="163"/>
      <x:c r="Z85" s="163"/>
    </x:row>
    <x:row r="86" ht="15" hidden="0" customHeight="1">
      <x:c r="A86" s="163"/>
      <x:c r="B86" s="163"/>
      <x:c r="C86" s="163"/>
      <x:c r="D86" s="163"/>
      <x:c r="E86" s="163"/>
      <x:c r="F86" s="163"/>
      <x:c r="G86" s="163"/>
      <x:c r="H86" s="163"/>
      <x:c r="I86" s="163"/>
      <x:c r="J86" s="163"/>
      <x:c r="K86" s="163"/>
      <x:c r="L86" s="163"/>
      <x:c r="M86" s="163"/>
      <x:c r="N86" s="163"/>
      <x:c r="O86" s="163"/>
      <x:c r="P86" s="163"/>
      <x:c r="Q86" s="163"/>
      <x:c r="R86" s="163"/>
      <x:c r="S86" s="163"/>
      <x:c r="T86" s="163"/>
      <x:c r="U86" s="163"/>
      <x:c r="V86" s="163"/>
      <x:c r="W86" s="163"/>
      <x:c r="X86" s="163"/>
      <x:c r="Y86" s="163"/>
      <x:c r="Z86" s="163"/>
    </x:row>
    <x:row r="87" ht="15" hidden="0" customHeight="1">
      <x:c r="A87" s="163"/>
      <x:c r="B87" s="163"/>
      <x:c r="C87" s="163"/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63"/>
      <x:c r="S87" s="163"/>
      <x:c r="T87" s="163"/>
      <x:c r="U87" s="163"/>
      <x:c r="V87" s="163"/>
      <x:c r="W87" s="163"/>
      <x:c r="X87" s="163"/>
      <x:c r="Y87" s="163"/>
      <x:c r="Z87" s="163"/>
    </x:row>
    <x:row r="88" ht="15" hidden="0" customHeight="1">
      <x:c r="A88" s="163"/>
      <x:c r="B88" s="163"/>
      <x:c r="C88" s="163"/>
      <x:c r="D88" s="163"/>
      <x:c r="E88" s="163"/>
      <x:c r="F88" s="163"/>
      <x:c r="G88" s="163"/>
      <x:c r="H88" s="163"/>
      <x:c r="I88" s="163"/>
      <x:c r="J88" s="163"/>
      <x:c r="K88" s="163"/>
      <x:c r="L88" s="163"/>
      <x:c r="M88" s="163"/>
      <x:c r="N88" s="163"/>
      <x:c r="O88" s="163"/>
      <x:c r="P88" s="163"/>
      <x:c r="Q88" s="163"/>
      <x:c r="R88" s="163"/>
      <x:c r="S88" s="163"/>
      <x:c r="T88" s="163"/>
      <x:c r="U88" s="163"/>
      <x:c r="V88" s="163"/>
      <x:c r="W88" s="163"/>
      <x:c r="X88" s="163"/>
      <x:c r="Y88" s="163"/>
      <x:c r="Z88" s="163"/>
    </x:row>
    <x:row r="89" ht="15" hidden="0" customHeight="1">
      <x:c r="A89" s="163"/>
      <x:c r="B89" s="163"/>
      <x:c r="C89" s="163"/>
      <x:c r="D89" s="163"/>
      <x:c r="E89" s="163"/>
      <x:c r="F89" s="163"/>
      <x:c r="G89" s="163"/>
      <x:c r="H89" s="163"/>
      <x:c r="I89" s="163"/>
      <x:c r="J89" s="163"/>
      <x:c r="K89" s="163"/>
      <x:c r="L89" s="163"/>
      <x:c r="M89" s="163"/>
      <x:c r="N89" s="163"/>
      <x:c r="O89" s="163"/>
      <x:c r="P89" s="163"/>
      <x:c r="Q89" s="163"/>
      <x:c r="R89" s="163"/>
      <x:c r="S89" s="163"/>
      <x:c r="T89" s="163"/>
      <x:c r="U89" s="163"/>
      <x:c r="V89" s="163"/>
      <x:c r="W89" s="163"/>
      <x:c r="X89" s="163"/>
      <x:c r="Y89" s="163"/>
      <x:c r="Z89" s="163"/>
    </x:row>
    <x:row r="90" ht="15" hidden="0" customHeight="1">
      <x:c r="A90" s="163"/>
      <x:c r="B90" s="163"/>
      <x:c r="C90" s="163"/>
      <x:c r="D90" s="163"/>
      <x:c r="E90" s="163"/>
      <x:c r="F90" s="163"/>
      <x:c r="G90" s="163"/>
      <x:c r="H90" s="163"/>
      <x:c r="I90" s="163"/>
      <x:c r="J90" s="163"/>
      <x:c r="K90" s="163"/>
      <x:c r="L90" s="163"/>
      <x:c r="M90" s="163"/>
      <x:c r="N90" s="163"/>
      <x:c r="O90" s="163"/>
      <x:c r="P90" s="163"/>
      <x:c r="Q90" s="163"/>
      <x:c r="R90" s="163"/>
      <x:c r="S90" s="163"/>
      <x:c r="T90" s="163"/>
      <x:c r="U90" s="163"/>
      <x:c r="V90" s="163"/>
      <x:c r="W90" s="163"/>
      <x:c r="X90" s="163"/>
      <x:c r="Y90" s="163"/>
      <x:c r="Z90" s="163"/>
    </x:row>
    <x:row r="91" ht="15" hidden="0" customHeight="1">
      <x:c r="A91" s="163"/>
      <x:c r="B91" s="163"/>
      <x:c r="C91" s="163"/>
      <x:c r="D91" s="163"/>
      <x:c r="E91" s="163"/>
      <x:c r="F91" s="163"/>
      <x:c r="G91" s="163"/>
      <x:c r="H91" s="163"/>
      <x:c r="I91" s="163"/>
      <x:c r="J91" s="163"/>
      <x:c r="K91" s="163"/>
      <x:c r="L91" s="163"/>
      <x:c r="M91" s="163"/>
      <x:c r="N91" s="163"/>
      <x:c r="O91" s="163"/>
      <x:c r="P91" s="163"/>
      <x:c r="Q91" s="163"/>
      <x:c r="R91" s="163"/>
      <x:c r="S91" s="163"/>
      <x:c r="T91" s="163"/>
      <x:c r="U91" s="163"/>
      <x:c r="V91" s="163"/>
      <x:c r="W91" s="163"/>
      <x:c r="X91" s="163"/>
      <x:c r="Y91" s="163"/>
      <x:c r="Z91" s="163"/>
    </x:row>
    <x:row r="92" ht="15" hidden="0" customHeight="1">
      <x:c r="A92" s="163"/>
      <x:c r="B92" s="163"/>
      <x:c r="C92" s="163"/>
      <x:c r="D92" s="163"/>
      <x:c r="E92" s="163"/>
      <x:c r="F92" s="163"/>
      <x:c r="G92" s="163"/>
      <x:c r="H92" s="163"/>
      <x:c r="I92" s="163"/>
      <x:c r="J92" s="163"/>
      <x:c r="K92" s="163"/>
      <x:c r="L92" s="163"/>
      <x:c r="M92" s="163"/>
      <x:c r="N92" s="163"/>
      <x:c r="O92" s="163"/>
      <x:c r="P92" s="163"/>
      <x:c r="Q92" s="163"/>
      <x:c r="R92" s="163"/>
      <x:c r="S92" s="163"/>
      <x:c r="T92" s="163"/>
      <x:c r="U92" s="163"/>
      <x:c r="V92" s="163"/>
      <x:c r="W92" s="163"/>
      <x:c r="X92" s="163"/>
      <x:c r="Y92" s="163"/>
      <x:c r="Z92" s="163"/>
    </x:row>
    <x:row r="93" ht="15" hidden="0" customHeight="1">
      <x:c r="A93" s="163"/>
      <x:c r="B93" s="163"/>
      <x:c r="C93" s="163"/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63"/>
      <x:c r="S93" s="163"/>
      <x:c r="T93" s="163"/>
      <x:c r="U93" s="163"/>
      <x:c r="V93" s="163"/>
      <x:c r="W93" s="163"/>
      <x:c r="X93" s="163"/>
      <x:c r="Y93" s="163"/>
      <x:c r="Z93" s="163"/>
    </x:row>
    <x:row r="94" ht="15" hidden="0" customHeight="1">
      <x:c r="A94" s="163"/>
      <x:c r="B94" s="163"/>
      <x:c r="C94" s="163"/>
      <x:c r="D94" s="163"/>
      <x:c r="E94" s="163"/>
      <x:c r="F94" s="163"/>
      <x:c r="G94" s="163"/>
      <x:c r="H94" s="163"/>
      <x:c r="I94" s="163"/>
      <x:c r="J94" s="163"/>
      <x:c r="K94" s="163"/>
      <x:c r="L94" s="163"/>
      <x:c r="M94" s="163"/>
      <x:c r="N94" s="163"/>
      <x:c r="O94" s="163"/>
      <x:c r="P94" s="163"/>
      <x:c r="Q94" s="163"/>
      <x:c r="R94" s="163"/>
      <x:c r="S94" s="163"/>
      <x:c r="T94" s="163"/>
      <x:c r="U94" s="163"/>
      <x:c r="V94" s="163"/>
      <x:c r="W94" s="163"/>
      <x:c r="X94" s="163"/>
      <x:c r="Y94" s="163"/>
      <x:c r="Z94" s="163"/>
    </x:row>
    <x:row r="95" ht="15" hidden="0" customHeight="1">
      <x:c r="A95" s="163"/>
      <x:c r="B95" s="163"/>
      <x:c r="C95" s="163"/>
      <x:c r="D95" s="163"/>
      <x:c r="E95" s="163"/>
      <x:c r="F95" s="163"/>
      <x:c r="G95" s="163"/>
      <x:c r="H95" s="163"/>
      <x:c r="I95" s="163"/>
      <x:c r="J95" s="163"/>
      <x:c r="K95" s="163"/>
      <x:c r="L95" s="163"/>
      <x:c r="M95" s="163"/>
      <x:c r="N95" s="163"/>
      <x:c r="O95" s="163"/>
      <x:c r="P95" s="163"/>
      <x:c r="Q95" s="163"/>
      <x:c r="R95" s="163"/>
      <x:c r="S95" s="163"/>
      <x:c r="T95" s="163"/>
      <x:c r="U95" s="163"/>
      <x:c r="V95" s="163"/>
      <x:c r="W95" s="163"/>
      <x:c r="X95" s="163"/>
      <x:c r="Y95" s="163"/>
      <x:c r="Z95" s="163"/>
    </x:row>
    <x:row r="96" ht="15" hidden="0" customHeight="1">
      <x:c r="A96" s="163"/>
      <x:c r="B96" s="163"/>
      <x:c r="C96" s="163"/>
      <x:c r="D96" s="163"/>
      <x:c r="E96" s="163"/>
      <x:c r="F96" s="163"/>
      <x:c r="G96" s="163"/>
      <x:c r="H96" s="163"/>
      <x:c r="I96" s="163"/>
      <x:c r="J96" s="163"/>
      <x:c r="K96" s="163"/>
      <x:c r="L96" s="163"/>
      <x:c r="M96" s="163"/>
      <x:c r="N96" s="163"/>
      <x:c r="O96" s="163"/>
      <x:c r="P96" s="163"/>
      <x:c r="Q96" s="163"/>
      <x:c r="R96" s="163"/>
      <x:c r="S96" s="163"/>
      <x:c r="T96" s="163"/>
      <x:c r="U96" s="163"/>
      <x:c r="V96" s="163"/>
      <x:c r="W96" s="163"/>
      <x:c r="X96" s="163"/>
      <x:c r="Y96" s="163"/>
      <x:c r="Z96" s="163"/>
    </x:row>
    <x:row r="97" ht="15" hidden="0" customHeight="1">
      <x:c r="A97" s="163"/>
      <x:c r="B97" s="163"/>
      <x:c r="C97" s="163"/>
      <x:c r="D97" s="163"/>
      <x:c r="E97" s="163"/>
      <x:c r="F97" s="163"/>
      <x:c r="G97" s="163"/>
      <x:c r="H97" s="163"/>
      <x:c r="I97" s="163"/>
      <x:c r="J97" s="163"/>
      <x:c r="K97" s="163"/>
      <x:c r="L97" s="163"/>
      <x:c r="M97" s="163"/>
      <x:c r="N97" s="163"/>
      <x:c r="O97" s="163"/>
      <x:c r="P97" s="163"/>
      <x:c r="Q97" s="163"/>
      <x:c r="R97" s="163"/>
      <x:c r="S97" s="163"/>
      <x:c r="T97" s="163"/>
      <x:c r="U97" s="163"/>
      <x:c r="V97" s="163"/>
      <x:c r="W97" s="163"/>
      <x:c r="X97" s="163"/>
      <x:c r="Y97" s="163"/>
      <x:c r="Z97" s="163"/>
    </x:row>
    <x:row r="98" ht="15" hidden="0" customHeight="1">
      <x:c r="A98" s="163"/>
      <x:c r="B98" s="163"/>
      <x:c r="C98" s="163"/>
      <x:c r="D98" s="163"/>
      <x:c r="E98" s="163"/>
      <x:c r="F98" s="163"/>
      <x:c r="G98" s="163"/>
      <x:c r="H98" s="163"/>
      <x:c r="I98" s="163"/>
      <x:c r="J98" s="163"/>
      <x:c r="K98" s="163"/>
      <x:c r="L98" s="163"/>
      <x:c r="M98" s="163"/>
      <x:c r="N98" s="163"/>
      <x:c r="O98" s="163"/>
      <x:c r="P98" s="163"/>
      <x:c r="Q98" s="163"/>
      <x:c r="R98" s="163"/>
      <x:c r="S98" s="163"/>
      <x:c r="T98" s="163"/>
      <x:c r="U98" s="163"/>
      <x:c r="V98" s="163"/>
      <x:c r="W98" s="163"/>
      <x:c r="X98" s="163"/>
      <x:c r="Y98" s="163"/>
      <x:c r="Z98" s="163"/>
    </x:row>
    <x:row r="99" ht="15" hidden="0" customHeight="1">
      <x:c r="A99" s="163"/>
      <x:c r="B99" s="163"/>
      <x:c r="C99" s="163"/>
      <x:c r="D99" s="163"/>
      <x:c r="E99" s="163"/>
      <x:c r="F99" s="163"/>
      <x:c r="G99" s="163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63"/>
      <x:c r="S99" s="163"/>
      <x:c r="T99" s="163"/>
      <x:c r="U99" s="163"/>
      <x:c r="V99" s="163"/>
      <x:c r="W99" s="163"/>
      <x:c r="X99" s="163"/>
      <x:c r="Y99" s="163"/>
      <x:c r="Z99" s="163"/>
    </x:row>
    <x:row r="100" ht="15" hidden="0" customHeight="1">
      <x:c r="A100" s="163"/>
      <x:c r="B100" s="163"/>
      <x:c r="C100" s="163"/>
      <x:c r="D100" s="163"/>
      <x:c r="E100" s="163"/>
      <x:c r="F100" s="163"/>
      <x:c r="G100" s="163"/>
      <x:c r="H100" s="163"/>
      <x:c r="I100" s="163"/>
      <x:c r="J100" s="163"/>
      <x:c r="K100" s="163"/>
      <x:c r="L100" s="163"/>
      <x:c r="M100" s="163"/>
      <x:c r="N100" s="163"/>
      <x:c r="O100" s="163"/>
      <x:c r="P100" s="163"/>
      <x:c r="Q100" s="163"/>
      <x:c r="R100" s="163"/>
      <x:c r="S100" s="163"/>
      <x:c r="T100" s="163"/>
      <x:c r="U100" s="163"/>
      <x:c r="V100" s="163"/>
      <x:c r="W100" s="163"/>
      <x:c r="X100" s="163"/>
      <x:c r="Y100" s="163"/>
      <x:c r="Z100" s="163"/>
    </x:row>
  </x:sheetData>
  <x:mergeCells>
    <x:mergeCell ref="A1:F1"/>
    <x:mergeCell ref="A2:F2"/>
    <x:mergeCell ref="A4:F4"/>
    <x:mergeCell ref="A14:F14"/>
    <x:mergeCell ref="A29:H29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</x:cols>
  <x:sheetData>
    <x:row r="1" ht="16.799999237060547" hidden="0" customHeight="1">
      <x:c r="A1" s="27" t="str">
        <x:v>Independent DCF Reconstruction — Based on Public Proxy Inputs</x:v>
      </x:c>
      <x:c r="B1" s="27"/>
      <x:c r="C1" s="27"/>
      <x:c r="D1" s="27"/>
      <x:c r="E1" s="27"/>
      <x:c r="F1" s="27"/>
      <x:c r="G1" s="27"/>
      <x:c r="H1" s="27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 ht="15" hidden="0" customHeight="1">
      <x:c r="A2" s="164" t="str">
        <x:v>This is an independent reconstruction, not Wells Fargo's proprietary model. Undisclosed items are approximated transparently from public 2024 ratios.</x:v>
      </x:c>
      <x:c r="B2" s="164"/>
      <x:c r="C2" s="164"/>
      <x:c r="D2" s="164"/>
      <x:c r="E2" s="164"/>
      <x:c r="F2" s="164"/>
      <x:c r="G2" s="164"/>
      <x:c r="H2" s="164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 ht="15" hidden="0" customHeight="1">
      <x:c r="A3" s="163"/>
      <x:c r="B3" s="163"/>
      <x:c r="C3" s="163"/>
      <x:c r="D3" s="163"/>
      <x:c r="E3" s="163"/>
      <x:c r="F3" s="163"/>
      <x:c r="G3" s="163"/>
      <x:c r="H3" s="163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 ht="15" hidden="0" customHeight="1">
      <x:c r="A4" s="6" t="str">
        <x:v>$ in millions</x:v>
      </x:c>
      <x:c r="B4" s="6" t="str">
        <x:v>2025E</x:v>
      </x:c>
      <x:c r="C4" s="6" t="str">
        <x:v>2026E</x:v>
      </x:c>
      <x:c r="D4" s="6" t="str">
        <x:v>2027E</x:v>
      </x:c>
      <x:c r="E4" s="6" t="str">
        <x:v>2028E</x:v>
      </x:c>
      <x:c r="F4" s="6" t="str">
        <x:v>2029E</x:v>
      </x:c>
      <x:c r="G4" s="6" t="str">
        <x:v>2030E</x:v>
      </x:c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 ht="15" hidden="0" customHeight="1">
      <x:c r="A5" s="163" t="str">
        <x:v>Sales</x:v>
      </x:c>
      <x:c r="B5" s="210" t="n">
        <x:f>'Model Inputs'!B31</x:f>
        <x:v>4645</x:v>
      </x:c>
      <x:c r="C5" s="210" t="n">
        <x:f>'Model Inputs'!C31</x:f>
        <x:v>5085</x:v>
      </x:c>
      <x:c r="D5" s="210" t="n">
        <x:f>'Model Inputs'!D31</x:f>
        <x:v>5433</x:v>
      </x:c>
      <x:c r="E5" s="210" t="n">
        <x:f>'Model Inputs'!E31</x:f>
        <x:v>5731</x:v>
      </x:c>
      <x:c r="F5" s="210" t="n">
        <x:f>'Model Inputs'!F31</x:f>
        <x:v>6034</x:v>
      </x:c>
      <x:c r="G5" s="210" t="n">
        <x:f>'Model Inputs'!G31</x:f>
        <x:v>6354</x:v>
      </x:c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 ht="15" hidden="0" customHeight="1">
      <x:c r="A6" s="163" t="str">
        <x:v>EBITDA</x:v>
      </x:c>
      <x:c r="B6" s="210" t="n">
        <x:f>'Model Inputs'!B32</x:f>
        <x:v>1146</x:v>
      </x:c>
      <x:c r="C6" s="210" t="n">
        <x:f>'Model Inputs'!C32</x:f>
        <x:v>1286</x:v>
      </x:c>
      <x:c r="D6" s="210" t="n">
        <x:f>'Model Inputs'!D32</x:f>
        <x:v>1395</x:v>
      </x:c>
      <x:c r="E6" s="210" t="n">
        <x:f>'Model Inputs'!E32</x:f>
        <x:v>1490</x:v>
      </x:c>
      <x:c r="F6" s="210" t="n">
        <x:f>'Model Inputs'!F32</x:f>
        <x:v>1589</x:v>
      </x:c>
      <x:c r="G6" s="210" t="n">
        <x:f>'Model Inputs'!G32</x:f>
        <x:v>1673</x:v>
      </x:c>
      <x:c r="H6" s="163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 ht="15" hidden="0" customHeight="1">
      <x:c r="A7" s="163" t="str">
        <x:v>D&amp;A</x:v>
      </x:c>
      <x:c r="B7" s="194" t="n">
        <x:f>B5*'Model Inputs'!$B$38</x:f>
        <x:v>301.34497512198635</x:v>
      </x:c>
      <x:c r="C7" s="194" t="n">
        <x:f>C5*'Model Inputs'!$B$38</x:f>
        <x:v>329.8900319688484</x:v>
      </x:c>
      <x:c r="D7" s="194" t="n">
        <x:f>D5*'Model Inputs'!$B$38</x:f>
        <x:v>352.46657692954835</x:v>
      </x:c>
      <x:c r="E7" s="194" t="n">
        <x:f>E5*'Model Inputs'!$B$38</x:f>
        <x:v>371.7993654303776</x:v>
      </x:c>
      <x:c r="F7" s="194" t="n">
        <x:f>F5*'Model Inputs'!$B$38</x:f>
        <x:v>391.4565295771939</x:v>
      </x:c>
      <x:c r="G7" s="194" t="n">
        <x:f>G5*'Model Inputs'!$B$38</x:f>
        <x:v>412.2165709203663</x:v>
      </x:c>
      <x:c r="H7" s="163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 ht="15" hidden="0" customHeight="1">
      <x:c r="A8" s="163" t="str">
        <x:v>EBIT</x:v>
      </x:c>
      <x:c r="B8" s="194" t="n">
        <x:f>B6-B7</x:f>
        <x:v>844.6550248780136</x:v>
      </x:c>
      <x:c r="C8" s="194" t="n">
        <x:f>C6-C7</x:f>
        <x:v>956.1099680311515</x:v>
      </x:c>
      <x:c r="D8" s="194" t="n">
        <x:f>D6-D7</x:f>
        <x:v>1042.5334230704516</x:v>
      </x:c>
      <x:c r="E8" s="194" t="n">
        <x:f>E6-E7</x:f>
        <x:v>1118.2006345696225</x:v>
      </x:c>
      <x:c r="F8" s="194" t="n">
        <x:f>F6-F7</x:f>
        <x:v>1197.543470422806</x:v>
      </x:c>
      <x:c r="G8" s="194" t="n">
        <x:f>G6-G7</x:f>
        <x:v>1260.7834290796336</x:v>
      </x:c>
      <x:c r="H8" s="163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 ht="15" hidden="0" customHeight="1">
      <x:c r="A9" s="163" t="str">
        <x:v>Tax on EBIT</x:v>
      </x:c>
      <x:c r="B9" s="194" t="n">
        <x:f>B8*'Model Inputs'!$B$37</x:f>
        <x:v>208.44547866691323</x:v>
      </x:c>
      <x:c r="C9" s="194" t="n">
        <x:f>C8*'Model Inputs'!$B$37</x:f>
        <x:v>235.9505290023501</x:v>
      </x:c>
      <x:c r="D9" s="194" t="n">
        <x:f>D8*'Model Inputs'!$B$37</x:f>
        <x:v>257.2782639037284</x:v>
      </x:c>
      <x:c r="E9" s="194" t="n">
        <x:f>E8*'Model Inputs'!$B$37</x:f>
        <x:v>275.9515537744814</x:v>
      </x:c>
      <x:c r="F9" s="194" t="n">
        <x:f>F8*'Model Inputs'!$B$37</x:f>
        <x:v>295.53192080135807</x:v>
      </x:c>
      <x:c r="G9" s="194" t="n">
        <x:f>G8*'Model Inputs'!$B$37</x:f>
        <x:v>311.1383909753821</x:v>
      </x:c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 ht="15" hidden="0" customHeight="1">
      <x:c r="A10" s="163" t="str">
        <x:v>NOPAT</x:v>
      </x:c>
      <x:c r="B10" s="194" t="n">
        <x:f>B8-B9</x:f>
        <x:v>636.2095462111004</x:v>
      </x:c>
      <x:c r="C10" s="194" t="n">
        <x:f>C8-C9</x:f>
        <x:v>720.1594390288014</x:v>
      </x:c>
      <x:c r="D10" s="194" t="n">
        <x:f>D8-D9</x:f>
        <x:v>785.2551591667232</x:v>
      </x:c>
      <x:c r="E10" s="194" t="n">
        <x:f>E8-E9</x:f>
        <x:v>842.249080795141</x:v>
      </x:c>
      <x:c r="F10" s="194" t="n">
        <x:f>F8-F9</x:f>
        <x:v>902.0115496214479</x:v>
      </x:c>
      <x:c r="G10" s="194" t="n">
        <x:f>G8-G9</x:f>
        <x:v>949.6450381042515</x:v>
      </x:c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 ht="15" hidden="0" customHeight="1">
      <x:c r="A11" s="163" t="str">
        <x:v>Capital expenditures</x:v>
      </x:c>
      <x:c r="B11" s="194" t="n">
        <x:f>'Model Inputs'!B33</x:f>
        <x:v>115</x:v>
      </x:c>
      <x:c r="C11" s="194" t="n">
        <x:f>'Model Inputs'!C33</x:f>
        <x:v>109</x:v>
      </x:c>
      <x:c r="D11" s="194" t="n">
        <x:f>'Model Inputs'!D33</x:f>
        <x:v>113</x:v>
      </x:c>
      <x:c r="E11" s="194" t="n">
        <x:f>'Model Inputs'!E33</x:f>
        <x:v>112</x:v>
      </x:c>
      <x:c r="F11" s="194" t="n">
        <x:f>'Model Inputs'!F33</x:f>
        <x:v>106</x:v>
      </x:c>
      <x:c r="G11" s="194" t="n">
        <x:f>G5*'Model Inputs'!$B$44</x:f>
        <x:v>111.62147828969175</x:v>
      </x:c>
      <x:c r="H11" s="16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 ht="15" hidden="0" customHeight="1">
      <x:c r="A12" s="163" t="str">
        <x:v>Operating NWC</x:v>
      </x:c>
      <x:c r="B12" s="194" t="n">
        <x:f>B5*'Model Inputs'!$B$39</x:f>
        <x:v>621.6705526043795</x:v>
      </x:c>
      <x:c r="C12" s="194" t="n">
        <x:f>C5*'Model Inputs'!$B$39</x:f>
        <x:v>680.558613561522</x:v>
      </x:c>
      <x:c r="D12" s="194" t="n">
        <x:f>D5*'Model Inputs'!$B$39</x:f>
        <x:v>727.1337163185347</x:v>
      </x:c>
      <x:c r="E12" s="194" t="n">
        <x:f>E5*'Model Inputs'!$B$39</x:f>
        <x:v>767.0169939667812</x:v>
      </x:c>
      <x:c r="F12" s="194" t="n">
        <x:f>F5*'Model Inputs'!$B$39</x:f>
        <x:v>807.5694541259044</x:v>
      </x:c>
      <x:c r="G12" s="194" t="n">
        <x:f>G5*'Model Inputs'!$B$39</x:f>
        <x:v>850.397134822008</x:v>
      </x:c>
      <x:c r="H12" s="16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 ht="15" hidden="0" customHeight="1">
      <x:c r="A13" s="163" t="str">
        <x:v>Change in NWC</x:v>
      </x:c>
      <x:c r="B13" s="194" t="n">
        <x:f>B12-('Model Inputs'!$B$21+'Model Inputs'!$B$22+'Model Inputs'!$B$23-'Model Inputs'!$B$24-'Model Inputs'!$B$25)</x:f>
        <x:v>64.87055260437955</x:v>
      </x:c>
      <x:c r="C13" s="194" t="n">
        <x:f>C12-B12</x:f>
        <x:v>58.88806095714244</x:v>
      </x:c>
      <x:c r="D13" s="194" t="n">
        <x:f>D12-C12</x:f>
        <x:v>46.5751027570127</x:v>
      </x:c>
      <x:c r="E13" s="194" t="n">
        <x:f>E12-D12</x:f>
        <x:v>39.883277648246576</x:v>
      </x:c>
      <x:c r="F13" s="194" t="n">
        <x:f>F12-E12</x:f>
        <x:v>40.55246015912314</x:v>
      </x:c>
      <x:c r="G13" s="194" t="n">
        <x:f>G12-F12</x:f>
        <x:v>42.827680696103585</x:v>
      </x:c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 ht="15" hidden="0" customHeight="1">
      <x:c r="A14" s="163" t="str">
        <x:v>UFCF</x:v>
      </x:c>
      <x:c r="B14" s="194" t="n">
        <x:f>B10+B7-B11-B13</x:f>
        <x:v>757.6839687287072</x:v>
      </x:c>
      <x:c r="C14" s="194" t="n">
        <x:f>C10+C7-C11-C13</x:f>
        <x:v>882.1614100405075</x:v>
      </x:c>
      <x:c r="D14" s="194" t="n">
        <x:f>D10+D7-D11-D13</x:f>
        <x:v>978.1466333392589</x:v>
      </x:c>
      <x:c r="E14" s="194" t="n">
        <x:f>E10+E7-E11-E13</x:f>
        <x:v>1062.165168577272</x:v>
      </x:c>
      <x:c r="F14" s="194" t="n">
        <x:f>F10+F7-F11-F13</x:f>
        <x:v>1146.9156190395188</x:v>
      </x:c>
      <x:c r="G14" s="194" t="n">
        <x:f>G10+G7-G11-G13</x:f>
        <x:v>1207.4124500388225</x:v>
      </x:c>
      <x:c r="H14" s="163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 ht="15" hidden="0" customHeight="1">
      <x:c r="A15" s="163" t="str">
        <x:v>DCF cash flow</x:v>
      </x:c>
      <x:c r="B15" s="194" t="n">
        <x:f>B14*0.5</x:f>
        <x:v>378.8419843643536</x:v>
      </x:c>
      <x:c r="C15" s="194" t="n">
        <x:f>C14</x:f>
        <x:v>882.1614100405075</x:v>
      </x:c>
      <x:c r="D15" s="194" t="n">
        <x:f>D14</x:f>
        <x:v>978.1466333392589</x:v>
      </x:c>
      <x:c r="E15" s="194" t="n">
        <x:f>E14</x:f>
        <x:v>1062.165168577272</x:v>
      </x:c>
      <x:c r="F15" s="194" t="n">
        <x:f>F14</x:f>
        <x:v>1146.9156190395188</x:v>
      </x:c>
      <x:c r="G15" s="194"/>
      <x:c r="H15" s="163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 ht="15" hidden="0" customHeight="1">
      <x:c r="A16" s="163" t="str">
        <x:v>Discount period</x:v>
      </x:c>
      <x:c r="B16" s="211" t="n">
        <x:v>0.5</x:v>
      </x:c>
      <x:c r="C16" s="211" t="n">
        <x:v>1.5</x:v>
      </x:c>
      <x:c r="D16" s="211" t="n">
        <x:v>2.5</x:v>
      </x:c>
      <x:c r="E16" s="211" t="n">
        <x:v>3.5</x:v>
      </x:c>
      <x:c r="F16" s="211" t="n">
        <x:v>4.5</x:v>
      </x:c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 ht="15" hidden="0" customHeight="1">
      <x:c r="A17" s="163" t="str">
        <x:v>Discount factor</x:v>
      </x:c>
      <x:c r="B17" s="212" t="n">
        <x:f>1/(1+'Model Inputs'!$B$42)^B16</x:f>
        <x:v>0.9407208683835974</x:v>
      </x:c>
      <x:c r="C17" s="212" t="n">
        <x:f>1/(1+'Model Inputs'!$B$42)^C16</x:f>
        <x:v>0.8324963437022986</x:v>
      </x:c>
      <x:c r="D17" s="212" t="n">
        <x:f>1/(1+'Model Inputs'!$B$42)^D16</x:f>
        <x:v>0.7367224280551316</x:v>
      </x:c>
      <x:c r="E17" s="212" t="n">
        <x:f>1/(1+'Model Inputs'!$B$42)^E16</x:f>
        <x:v>0.651966750491267</x:v>
      </x:c>
      <x:c r="F17" s="212" t="n">
        <x:f>1/(1+'Model Inputs'!$B$42)^F16</x:f>
        <x:v>0.5769617260984664</x:v>
      </x:c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5" hidden="0" customHeight="1">
      <x:c r="A18" s="163" t="str">
        <x:v>PV of UFCF</x:v>
      </x:c>
      <x:c r="B18" s="213" t="n">
        <x:f>B15*B17</x:f>
        <x:v>356.38456051139997</x:v>
      </x:c>
      <x:c r="C18" s="213" t="n">
        <x:f>C15*C17</x:f>
        <x:v>734.3961484139867</x:v>
      </x:c>
      <x:c r="D18" s="213" t="n">
        <x:f>D15*D17</x:f>
        <x:v>720.6225627076512</x:v>
      </x:c>
      <x:c r="E18" s="213" t="n">
        <x:f>E15*E17</x:f>
        <x:v>692.4963734423328</x:v>
      </x:c>
      <x:c r="F18" s="213" t="n">
        <x:f>F15*F17</x:f>
        <x:v>661.7264152503319</x:v>
      </x:c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 ht="15" hidden="0" customHeight="1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 ht="15" hidden="0" customHeight="1">
      <x:c r="A20" s="36" t="str">
        <x:v>TERMINAL VALUE &amp; EQUITY BRIDGE</x:v>
      </x:c>
      <x:c r="B20" s="36"/>
      <x:c r="C20" s="36"/>
      <x:c r="D20" s="36" t="str">
        <x:v>DCF SENSITIVITY — IMPLIED VALUE / SHARE</x:v>
      </x:c>
      <x:c r="E20" s="36"/>
      <x:c r="F20" s="36"/>
      <x:c r="G20" s="36"/>
      <x:c r="H20" s="36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 ht="15" hidden="0" customHeight="1">
      <x:c r="A21" s="163" t="str">
        <x:v>Base terminal EBITDA multiple</x:v>
      </x:c>
      <x:c r="B21" s="214" t="n">
        <x:f>'Model Inputs'!B43</x:f>
        <x:v>10</x:v>
      </x:c>
      <x:c r="C21" s="163"/>
      <x:c r="D21" s="6" t="str">
        <x:v>WACC \ Exit</x:v>
      </x:c>
      <x:c r="E21" s="6" t="n">
        <x:v>9</x:v>
      </x:c>
      <x:c r="F21" s="6" t="n">
        <x:v>10</x:v>
      </x:c>
      <x:c r="G21" s="6" t="n">
        <x:v>11</x:v>
      </x:c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 ht="15" hidden="0" customHeight="1">
      <x:c r="A22" s="163" t="str">
        <x:v>2030E EBITDA</x:v>
      </x:c>
      <x:c r="B22" s="194" t="n">
        <x:f>G6</x:f>
        <x:v>1673</x:v>
      </x:c>
      <x:c r="C22" s="190" t="n">
        <x:v>0.12</x:v>
      </x:c>
      <x:c r="D22" s="215" t="str">
        <x:v>WACC</x:v>
      </x:c>
      <x:c r="E22" s="216" t="n">
        <x:f>((B15/(1+$C22)^B16+C15/(1+$C22)^C16+D15/(1+$C22)^D16+E15/(1+$C22)^E16+F15/(1+$C22)^F16+(G6*E$21)/(1+$C22)^4.5)-'Model Inputs'!$B$40)/'Model Inputs'!$B$41</x:f>
        <x:v>182.6377115756135</x:v>
      </x:c>
      <x:c r="F22" s="216" t="n">
        <x:f>((B15/(1+$C22)^B16+C15/(1+$C22)^C16+D15/(1+$C22)^D16+E15/(1+$C22)^E16+F15/(1+$C22)^F16+(G6*F$21)/(1+$C22)^4.5)-'Model Inputs'!$B$40)/'Model Inputs'!$B$41</x:f>
        <x:v>203.5264763744202</x:v>
      </x:c>
      <x:c r="G22" s="216" t="n">
        <x:f>((B15/(1+$C22)^B16+C15/(1+$C22)^C16+D15/(1+$C22)^D16+E15/(1+$C22)^E16+F15/(1+$C22)^F16+(G6*G$21)/(1+$C22)^4.5)-'Model Inputs'!$B$40)/'Model Inputs'!$B$41</x:f>
        <x:v>224.41524117322692</x:v>
      </x:c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 ht="15" hidden="0" customHeight="1">
      <x:c r="A23" s="163" t="str">
        <x:v>Terminal enterprise value</x:v>
      </x:c>
      <x:c r="B23" s="194" t="n">
        <x:f>B21*B22</x:f>
        <x:v>16730</x:v>
      </x:c>
      <x:c r="C23" s="190" t="n">
        <x:v>0.13</x:v>
      </x:c>
      <x:c r="D23" s="215" t="str">
        <x:v>WACC</x:v>
      </x:c>
      <x:c r="E23" s="216" t="n">
        <x:f>((B15/(1+$C23)^B16+C15/(1+$C23)^C16+D15/(1+$C23)^D16+E15/(1+$C23)^E16+F15/(1+$C23)^F16+(G6*E$21)/(1+$C23)^4.5)-'Model Inputs'!$B$40)/'Model Inputs'!$B$41</x:f>
        <x:v>173.67496452870944</x:v>
      </x:c>
      <x:c r="F23" s="216" t="n">
        <x:f>((B15/(1+$C23)^B16+C15/(1+$C23)^C16+D15/(1+$C23)^D16+E15/(1+$C23)^E16+F15/(1+$C23)^F16+(G6*F$21)/(1+$C23)^4.5)-'Model Inputs'!$B$40)/'Model Inputs'!$B$41</x:f>
        <x:v>193.74466385842967</x:v>
      </x:c>
      <x:c r="G23" s="216" t="n">
        <x:f>((B15/(1+$C23)^B16+C15/(1+$C23)^C16+D15/(1+$C23)^D16+E15/(1+$C23)^E16+F15/(1+$C23)^F16+(G6*G$21)/(1+$C23)^4.5)-'Model Inputs'!$B$40)/'Model Inputs'!$B$41</x:f>
        <x:v>213.81436318814985</x:v>
      </x:c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 ht="15" hidden="0" customHeight="1">
      <x:c r="A24" s="163" t="str">
        <x:v>PV of explicit UFCF</x:v>
      </x:c>
      <x:c r="B24" s="194" t="n">
        <x:f>SUM(B18:F18)</x:f>
        <x:v>3165.6260603257024</x:v>
      </x:c>
      <x:c r="C24" s="190" t="n">
        <x:v>0.14</x:v>
      </x:c>
      <x:c r="D24" s="215" t="str">
        <x:v>WACC</x:v>
      </x:c>
      <x:c r="E24" s="216" t="n">
        <x:f>((B15/(1+$C24)^B16+C15/(1+$C24)^C16+D15/(1+$C24)^D16+E15/(1+$C24)^E16+F15/(1+$C24)^F16+(G6*E$21)/(1+$C24)^4.5)-'Model Inputs'!$B$40)/'Model Inputs'!$B$41</x:f>
        <x:v>165.12206642747807</x:v>
      </x:c>
      <x:c r="F24" s="216" t="n">
        <x:f>((B15/(1+$C24)^B16+C15/(1+$C24)^C16+D15/(1+$C24)^D16+E15/(1+$C24)^E16+F15/(1+$C24)^F16+(G6*F$21)/(1+$C24)^4.5)-'Model Inputs'!$B$40)/'Model Inputs'!$B$41</x:f>
        <x:v>184.41161352536338</x:v>
      </x:c>
      <x:c r="G24" s="216" t="n">
        <x:f>((B15/(1+$C24)^B16+C15/(1+$C24)^C16+D15/(1+$C24)^D16+E15/(1+$C24)^E16+F15/(1+$C24)^F16+(G6*G$21)/(1+$C24)^4.5)-'Model Inputs'!$B$40)/'Model Inputs'!$B$41</x:f>
        <x:v>203.70116062324868</x:v>
      </x:c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 ht="15" hidden="0" customHeight="1">
      <x:c r="A25" s="163" t="str">
        <x:v>PV of terminal value</x:v>
      </x:c>
      <x:c r="B25" s="194" t="n">
        <x:f>B23/(1+'Model Inputs'!$B$42)^4.5</x:f>
        <x:v>9652.569677627343</x:v>
      </x:c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 ht="15" hidden="0" customHeight="1">
      <x:c r="A26" s="163" t="str">
        <x:v>Implied enterprise value</x:v>
      </x:c>
      <x:c r="B26" s="194" t="n">
        <x:f>B24+B25</x:f>
        <x:v>12818.195737953047</x:v>
      </x:c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 ht="15" hidden="0" customHeight="1">
      <x:c r="A27" s="163" t="str">
        <x:v>Less: approximate net debt</x:v>
      </x:c>
      <x:c r="B27" s="194" t="n">
        <x:f>'Model Inputs'!B40</x:f>
        <x:v>3500</x:v>
      </x:c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 ht="15" hidden="0" customHeight="1">
      <x:c r="A28" s="163" t="str">
        <x:v>Implied equity value</x:v>
      </x:c>
      <x:c r="B28" s="194" t="n">
        <x:f>B26-B27</x:f>
        <x:v>9318.195737953047</x:v>
      </x:c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 ht="15" hidden="0" customHeight="1">
      <x:c r="A29" s="163" t="str">
        <x:v>Approx. diluted shares</x:v>
      </x:c>
      <x:c r="B29" s="195" t="n">
        <x:f>'Model Inputs'!B41</x:f>
        <x:v>48.095238095238095</x:v>
      </x:c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 ht="15" hidden="0" customHeight="1">
      <x:c r="A30" s="163"/>
      <x:c r="B30" s="187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 ht="15" hidden="0" customHeight="1">
      <x:c r="A31" s="163" t="str">
        <x:v>Implied value / share</x:v>
      </x:c>
      <x:c r="B31" s="216" t="n">
        <x:f>B28/B29</x:f>
        <x:v>193.74466385842967</x:v>
      </x:c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 ht="15" hidden="0" customHeight="1">
      <x:c r="A32" s="163" t="str">
        <x:v>Offer price / share</x:v>
      </x:c>
      <x:c r="B32" s="216" t="n">
        <x:f>'Model Inputs'!B5</x:f>
        <x:v>210</x:v>
      </x:c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 ht="15" hidden="0" customHeight="1">
      <x:c r="A33" s="163" t="str">
        <x:v>Premium / (discount) to DCF</x:v>
      </x:c>
      <x:c r="B33" s="193" t="n">
        <x:f>B32/B31-1</x:f>
        <x:v>0.0839008198617961</x:v>
      </x:c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 ht="15" hidden="0" customHeight="1">
      <x:c r="A34" s="163" t="str">
        <x:v>Wells Fargo disclosed DCF range</x:v>
      </x:c>
      <x:c r="B34" s="217" t="str">
        <x:v>171.32 – 229.77</x:v>
      </x:c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 ht="15" hidden="0" customHeight="1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 ht="15" hidden="0" customHeight="1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 ht="15" hidden="0" customHeight="1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 ht="15" hidden="0" customHeight="1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 ht="15" hidden="0" customHeight="1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 ht="15" hidden="0" customHeight="1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 ht="15" hidden="0" customHeight="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 ht="15" hidden="0" customHeight="1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 ht="15" hidden="0" customHeight="1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 ht="15" hidden="0" customHeight="1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 ht="15" hidden="0" customHeight="1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 ht="15" hidden="0" customHeight="1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 ht="15" hidden="0" customHeight="1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 ht="15" hidden="0" customHeight="1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 ht="15" hidden="0" customHeight="1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 ht="15" hidden="0" customHeight="1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 ht="15" hidden="0" customHeight="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 ht="15" hidden="0" customHeight="1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 ht="15" hidden="0" customHeight="1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 ht="15" hidden="0" customHeight="1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 ht="15" hidden="0" customHeight="1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 ht="15" hidden="0" customHeight="1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 ht="15" hidden="0" customHeight="1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 ht="15" hidden="0" customHeight="1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 ht="15" hidden="0" customHeight="1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 ht="15" hidden="0" customHeight="1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  <x:row r="61" ht="15" hidden="0" customHeight="1">
      <x:c r="A61" s="163"/>
      <x:c r="B61" s="163"/>
      <x:c r="C61" s="163"/>
      <x:c r="D61" s="163"/>
      <x:c r="E61" s="163"/>
      <x:c r="F61" s="163"/>
      <x:c r="G61" s="163"/>
      <x:c r="H61" s="163"/>
      <x:c r="I61" s="163"/>
      <x:c r="J61" s="163"/>
      <x:c r="K61" s="163"/>
      <x:c r="L61" s="163"/>
      <x:c r="M61" s="163"/>
      <x:c r="N61" s="163"/>
      <x:c r="O61" s="163"/>
      <x:c r="P61" s="163"/>
      <x:c r="Q61" s="163"/>
      <x:c r="R61" s="163"/>
      <x:c r="S61" s="163"/>
      <x:c r="T61" s="163"/>
      <x:c r="U61" s="163"/>
      <x:c r="V61" s="163"/>
      <x:c r="W61" s="163"/>
      <x:c r="X61" s="163"/>
      <x:c r="Y61" s="163"/>
      <x:c r="Z61" s="163"/>
    </x:row>
    <x:row r="62" ht="15" hidden="0" customHeight="1">
      <x:c r="A62" s="163"/>
      <x:c r="B62" s="163"/>
      <x:c r="C62" s="163"/>
      <x:c r="D62" s="163"/>
      <x:c r="E62" s="163"/>
      <x:c r="F62" s="163"/>
      <x:c r="G62" s="163"/>
      <x:c r="H62" s="163"/>
      <x:c r="I62" s="163"/>
      <x:c r="J62" s="163"/>
      <x:c r="K62" s="163"/>
      <x:c r="L62" s="163"/>
      <x:c r="M62" s="163"/>
      <x:c r="N62" s="163"/>
      <x:c r="O62" s="163"/>
      <x:c r="P62" s="163"/>
      <x:c r="Q62" s="163"/>
      <x:c r="R62" s="163"/>
      <x:c r="S62" s="163"/>
      <x:c r="T62" s="163"/>
      <x:c r="U62" s="163"/>
      <x:c r="V62" s="163"/>
      <x:c r="W62" s="163"/>
      <x:c r="X62" s="163"/>
      <x:c r="Y62" s="163"/>
      <x:c r="Z62" s="163"/>
    </x:row>
    <x:row r="63" ht="15" hidden="0" customHeight="1">
      <x:c r="A63" s="163"/>
      <x:c r="B63" s="163"/>
      <x:c r="C63" s="163"/>
      <x:c r="D63" s="163"/>
      <x:c r="E63" s="163"/>
      <x:c r="F63" s="163"/>
      <x:c r="G63" s="163"/>
      <x:c r="H63" s="163"/>
      <x:c r="I63" s="163"/>
      <x:c r="J63" s="163"/>
      <x:c r="K63" s="163"/>
      <x:c r="L63" s="163"/>
      <x:c r="M63" s="163"/>
      <x:c r="N63" s="163"/>
      <x:c r="O63" s="163"/>
      <x:c r="P63" s="163"/>
      <x:c r="Q63" s="163"/>
      <x:c r="R63" s="163"/>
      <x:c r="S63" s="163"/>
      <x:c r="T63" s="163"/>
      <x:c r="U63" s="163"/>
      <x:c r="V63" s="163"/>
      <x:c r="W63" s="163"/>
      <x:c r="X63" s="163"/>
      <x:c r="Y63" s="163"/>
      <x:c r="Z63" s="163"/>
    </x:row>
    <x:row r="64" ht="15" hidden="0" customHeight="1">
      <x:c r="A64" s="163"/>
      <x:c r="B64" s="163"/>
      <x:c r="C64" s="163"/>
      <x:c r="D64" s="163"/>
      <x:c r="E64" s="163"/>
      <x:c r="F64" s="163"/>
      <x:c r="G64" s="163"/>
      <x:c r="H64" s="163"/>
      <x:c r="I64" s="163"/>
      <x:c r="J64" s="163"/>
      <x:c r="K64" s="163"/>
      <x:c r="L64" s="163"/>
      <x:c r="M64" s="163"/>
      <x:c r="N64" s="163"/>
      <x:c r="O64" s="163"/>
      <x:c r="P64" s="163"/>
      <x:c r="Q64" s="163"/>
      <x:c r="R64" s="163"/>
      <x:c r="S64" s="163"/>
      <x:c r="T64" s="163"/>
      <x:c r="U64" s="163"/>
      <x:c r="V64" s="163"/>
      <x:c r="W64" s="163"/>
      <x:c r="X64" s="163"/>
      <x:c r="Y64" s="163"/>
      <x:c r="Z64" s="163"/>
    </x:row>
    <x:row r="65" ht="15" hidden="0" customHeight="1">
      <x:c r="A65" s="163"/>
      <x:c r="B65" s="163"/>
      <x:c r="C65" s="163"/>
      <x:c r="D65" s="163"/>
      <x:c r="E65" s="163"/>
      <x:c r="F65" s="163"/>
      <x:c r="G65" s="163"/>
      <x:c r="H65" s="163"/>
      <x:c r="I65" s="163"/>
      <x:c r="J65" s="163"/>
      <x:c r="K65" s="163"/>
      <x:c r="L65" s="163"/>
      <x:c r="M65" s="163"/>
      <x:c r="N65" s="163"/>
      <x:c r="O65" s="163"/>
      <x:c r="P65" s="163"/>
      <x:c r="Q65" s="163"/>
      <x:c r="R65" s="163"/>
      <x:c r="S65" s="163"/>
      <x:c r="T65" s="163"/>
      <x:c r="U65" s="163"/>
      <x:c r="V65" s="163"/>
      <x:c r="W65" s="163"/>
      <x:c r="X65" s="163"/>
      <x:c r="Y65" s="163"/>
      <x:c r="Z65" s="163"/>
    </x:row>
    <x:row r="66" ht="15" hidden="0" customHeight="1">
      <x:c r="A66" s="163"/>
      <x:c r="B66" s="163"/>
      <x:c r="C66" s="163"/>
      <x:c r="D66" s="163"/>
      <x:c r="E66" s="163"/>
      <x:c r="F66" s="163"/>
      <x:c r="G66" s="163"/>
      <x:c r="H66" s="163"/>
      <x:c r="I66" s="163"/>
      <x:c r="J66" s="163"/>
      <x:c r="K66" s="163"/>
      <x:c r="L66" s="163"/>
      <x:c r="M66" s="163"/>
      <x:c r="N66" s="163"/>
      <x:c r="O66" s="163"/>
      <x:c r="P66" s="163"/>
      <x:c r="Q66" s="163"/>
      <x:c r="R66" s="163"/>
      <x:c r="S66" s="163"/>
      <x:c r="T66" s="163"/>
      <x:c r="U66" s="163"/>
      <x:c r="V66" s="163"/>
      <x:c r="W66" s="163"/>
      <x:c r="X66" s="163"/>
      <x:c r="Y66" s="163"/>
      <x:c r="Z66" s="163"/>
    </x:row>
    <x:row r="67" ht="15" hidden="0" customHeight="1">
      <x:c r="A67" s="163"/>
      <x:c r="B67" s="163"/>
      <x:c r="C67" s="163"/>
      <x:c r="D67" s="163"/>
      <x:c r="E67" s="163"/>
      <x:c r="F67" s="163"/>
      <x:c r="G67" s="163"/>
      <x:c r="H67" s="163"/>
      <x:c r="I67" s="163"/>
      <x:c r="J67" s="163"/>
      <x:c r="K67" s="163"/>
      <x:c r="L67" s="163"/>
      <x:c r="M67" s="163"/>
      <x:c r="N67" s="163"/>
      <x:c r="O67" s="163"/>
      <x:c r="P67" s="163"/>
      <x:c r="Q67" s="163"/>
      <x:c r="R67" s="163"/>
      <x:c r="S67" s="163"/>
      <x:c r="T67" s="163"/>
      <x:c r="U67" s="163"/>
      <x:c r="V67" s="163"/>
      <x:c r="W67" s="163"/>
      <x:c r="X67" s="163"/>
      <x:c r="Y67" s="163"/>
      <x:c r="Z67" s="163"/>
    </x:row>
    <x:row r="68" ht="15" hidden="0" customHeight="1">
      <x:c r="A68" s="163"/>
      <x:c r="B68" s="163"/>
      <x:c r="C68" s="163"/>
      <x:c r="D68" s="163"/>
      <x:c r="E68" s="163"/>
      <x:c r="F68" s="163"/>
      <x:c r="G68" s="163"/>
      <x:c r="H68" s="163"/>
      <x:c r="I68" s="163"/>
      <x:c r="J68" s="163"/>
      <x:c r="K68" s="163"/>
      <x:c r="L68" s="163"/>
      <x:c r="M68" s="163"/>
      <x:c r="N68" s="163"/>
      <x:c r="O68" s="163"/>
      <x:c r="P68" s="163"/>
      <x:c r="Q68" s="163"/>
      <x:c r="R68" s="163"/>
      <x:c r="S68" s="163"/>
      <x:c r="T68" s="163"/>
      <x:c r="U68" s="163"/>
      <x:c r="V68" s="163"/>
      <x:c r="W68" s="163"/>
      <x:c r="X68" s="163"/>
      <x:c r="Y68" s="163"/>
      <x:c r="Z68" s="163"/>
    </x:row>
    <x:row r="69" ht="15" hidden="0" customHeight="1">
      <x:c r="A69" s="163"/>
      <x:c r="B69" s="163"/>
      <x:c r="C69" s="163"/>
      <x:c r="D69" s="163"/>
      <x:c r="E69" s="163"/>
      <x:c r="F69" s="163"/>
      <x:c r="G69" s="163"/>
      <x:c r="H69" s="163"/>
      <x:c r="I69" s="163"/>
      <x:c r="J69" s="163"/>
      <x:c r="K69" s="163"/>
      <x:c r="L69" s="163"/>
      <x:c r="M69" s="163"/>
      <x:c r="N69" s="163"/>
      <x:c r="O69" s="163"/>
      <x:c r="P69" s="163"/>
      <x:c r="Q69" s="163"/>
      <x:c r="R69" s="163"/>
      <x:c r="S69" s="163"/>
      <x:c r="T69" s="163"/>
      <x:c r="U69" s="163"/>
      <x:c r="V69" s="163"/>
      <x:c r="W69" s="163"/>
      <x:c r="X69" s="163"/>
      <x:c r="Y69" s="163"/>
      <x:c r="Z69" s="163"/>
    </x:row>
    <x:row r="70" ht="15" hidden="0" customHeight="1">
      <x:c r="A70" s="163"/>
      <x:c r="B70" s="163"/>
      <x:c r="C70" s="163"/>
      <x:c r="D70" s="163"/>
      <x:c r="E70" s="163"/>
      <x:c r="F70" s="163"/>
      <x:c r="G70" s="163"/>
      <x:c r="H70" s="163"/>
      <x:c r="I70" s="163"/>
      <x:c r="J70" s="163"/>
      <x:c r="K70" s="163"/>
      <x:c r="L70" s="163"/>
      <x:c r="M70" s="163"/>
      <x:c r="N70" s="163"/>
      <x:c r="O70" s="163"/>
      <x:c r="P70" s="163"/>
      <x:c r="Q70" s="163"/>
      <x:c r="R70" s="163"/>
      <x:c r="S70" s="163"/>
      <x:c r="T70" s="163"/>
      <x:c r="U70" s="163"/>
      <x:c r="V70" s="163"/>
      <x:c r="W70" s="163"/>
      <x:c r="X70" s="163"/>
      <x:c r="Y70" s="163"/>
      <x:c r="Z70" s="163"/>
    </x:row>
    <x:row r="71" ht="15" hidden="0" customHeight="1">
      <x:c r="A71" s="163"/>
      <x:c r="B71" s="163"/>
      <x:c r="C71" s="163"/>
      <x:c r="D71" s="163"/>
      <x:c r="E71" s="163"/>
      <x:c r="F71" s="163"/>
      <x:c r="G71" s="163"/>
      <x:c r="H71" s="163"/>
      <x:c r="I71" s="163"/>
      <x:c r="J71" s="163"/>
      <x:c r="K71" s="163"/>
      <x:c r="L71" s="163"/>
      <x:c r="M71" s="163"/>
      <x:c r="N71" s="163"/>
      <x:c r="O71" s="163"/>
      <x:c r="P71" s="163"/>
      <x:c r="Q71" s="163"/>
      <x:c r="R71" s="163"/>
      <x:c r="S71" s="163"/>
      <x:c r="T71" s="163"/>
      <x:c r="U71" s="163"/>
      <x:c r="V71" s="163"/>
      <x:c r="W71" s="163"/>
      <x:c r="X71" s="163"/>
      <x:c r="Y71" s="163"/>
      <x:c r="Z71" s="163"/>
    </x:row>
    <x:row r="72" ht="15" hidden="0" customHeight="1">
      <x:c r="A72" s="163"/>
      <x:c r="B72" s="163"/>
      <x:c r="C72" s="163"/>
      <x:c r="D72" s="163"/>
      <x:c r="E72" s="163"/>
      <x:c r="F72" s="163"/>
      <x:c r="G72" s="163"/>
      <x:c r="H72" s="163"/>
      <x:c r="I72" s="163"/>
      <x:c r="J72" s="163"/>
      <x:c r="K72" s="163"/>
      <x:c r="L72" s="163"/>
      <x:c r="M72" s="163"/>
      <x:c r="N72" s="163"/>
      <x:c r="O72" s="163"/>
      <x:c r="P72" s="163"/>
      <x:c r="Q72" s="163"/>
      <x:c r="R72" s="163"/>
      <x:c r="S72" s="163"/>
      <x:c r="T72" s="163"/>
      <x:c r="U72" s="163"/>
      <x:c r="V72" s="163"/>
      <x:c r="W72" s="163"/>
      <x:c r="X72" s="163"/>
      <x:c r="Y72" s="163"/>
      <x:c r="Z72" s="163"/>
    </x:row>
    <x:row r="73" ht="15" hidden="0" customHeight="1">
      <x:c r="A73" s="163"/>
      <x:c r="B73" s="163"/>
      <x:c r="C73" s="163"/>
      <x:c r="D73" s="163"/>
      <x:c r="E73" s="163"/>
      <x:c r="F73" s="163"/>
      <x:c r="G73" s="163"/>
      <x:c r="H73" s="163"/>
      <x:c r="I73" s="163"/>
      <x:c r="J73" s="163"/>
      <x:c r="K73" s="163"/>
      <x:c r="L73" s="163"/>
      <x:c r="M73" s="163"/>
      <x:c r="N73" s="163"/>
      <x:c r="O73" s="163"/>
      <x:c r="P73" s="163"/>
      <x:c r="Q73" s="163"/>
      <x:c r="R73" s="163"/>
      <x:c r="S73" s="163"/>
      <x:c r="T73" s="163"/>
      <x:c r="U73" s="163"/>
      <x:c r="V73" s="163"/>
      <x:c r="W73" s="163"/>
      <x:c r="X73" s="163"/>
      <x:c r="Y73" s="163"/>
      <x:c r="Z73" s="163"/>
    </x:row>
    <x:row r="74" ht="15" hidden="0" customHeight="1">
      <x:c r="A74" s="163"/>
      <x:c r="B74" s="163"/>
      <x:c r="C74" s="163"/>
      <x:c r="D74" s="163"/>
      <x:c r="E74" s="163"/>
      <x:c r="F74" s="163"/>
      <x:c r="G74" s="163"/>
      <x:c r="H74" s="163"/>
      <x:c r="I74" s="163"/>
      <x:c r="J74" s="163"/>
      <x:c r="K74" s="163"/>
      <x:c r="L74" s="163"/>
      <x:c r="M74" s="163"/>
      <x:c r="N74" s="163"/>
      <x:c r="O74" s="163"/>
      <x:c r="P74" s="163"/>
      <x:c r="Q74" s="163"/>
      <x:c r="R74" s="163"/>
      <x:c r="S74" s="163"/>
      <x:c r="T74" s="163"/>
      <x:c r="U74" s="163"/>
      <x:c r="V74" s="163"/>
      <x:c r="W74" s="163"/>
      <x:c r="X74" s="163"/>
      <x:c r="Y74" s="163"/>
      <x:c r="Z74" s="163"/>
    </x:row>
    <x:row r="75" ht="15" hidden="0" customHeight="1">
      <x:c r="A75" s="163"/>
      <x:c r="B75" s="163"/>
      <x:c r="C75" s="163"/>
      <x:c r="D75" s="163"/>
      <x:c r="E75" s="163"/>
      <x:c r="F75" s="163"/>
      <x:c r="G75" s="163"/>
      <x:c r="H75" s="163"/>
      <x:c r="I75" s="163"/>
      <x:c r="J75" s="163"/>
      <x:c r="K75" s="163"/>
      <x:c r="L75" s="163"/>
      <x:c r="M75" s="163"/>
      <x:c r="N75" s="163"/>
      <x:c r="O75" s="163"/>
      <x:c r="P75" s="163"/>
      <x:c r="Q75" s="163"/>
      <x:c r="R75" s="163"/>
      <x:c r="S75" s="163"/>
      <x:c r="T75" s="163"/>
      <x:c r="U75" s="163"/>
      <x:c r="V75" s="163"/>
      <x:c r="W75" s="163"/>
      <x:c r="X75" s="163"/>
      <x:c r="Y75" s="163"/>
      <x:c r="Z75" s="163"/>
    </x:row>
    <x:row r="76" ht="15" hidden="0" customHeight="1">
      <x:c r="A76" s="163"/>
      <x:c r="B76" s="163"/>
      <x:c r="C76" s="163"/>
      <x:c r="D76" s="163"/>
      <x:c r="E76" s="163"/>
      <x:c r="F76" s="163"/>
      <x:c r="G76" s="163"/>
      <x:c r="H76" s="163"/>
      <x:c r="I76" s="163"/>
      <x:c r="J76" s="163"/>
      <x:c r="K76" s="163"/>
      <x:c r="L76" s="163"/>
      <x:c r="M76" s="163"/>
      <x:c r="N76" s="163"/>
      <x:c r="O76" s="163"/>
      <x:c r="P76" s="163"/>
      <x:c r="Q76" s="163"/>
      <x:c r="R76" s="163"/>
      <x:c r="S76" s="163"/>
      <x:c r="T76" s="163"/>
      <x:c r="U76" s="163"/>
      <x:c r="V76" s="163"/>
      <x:c r="W76" s="163"/>
      <x:c r="X76" s="163"/>
      <x:c r="Y76" s="163"/>
      <x:c r="Z76" s="163"/>
    </x:row>
    <x:row r="77" ht="15" hidden="0" customHeight="1">
      <x:c r="A77" s="163"/>
      <x:c r="B77" s="163"/>
      <x:c r="C77" s="163"/>
      <x:c r="D77" s="163"/>
      <x:c r="E77" s="163"/>
      <x:c r="F77" s="163"/>
      <x:c r="G77" s="163"/>
      <x:c r="H77" s="163"/>
      <x:c r="I77" s="163"/>
      <x:c r="J77" s="163"/>
      <x:c r="K77" s="163"/>
      <x:c r="L77" s="163"/>
      <x:c r="M77" s="163"/>
      <x:c r="N77" s="163"/>
      <x:c r="O77" s="163"/>
      <x:c r="P77" s="163"/>
      <x:c r="Q77" s="163"/>
      <x:c r="R77" s="163"/>
      <x:c r="S77" s="163"/>
      <x:c r="T77" s="163"/>
      <x:c r="U77" s="163"/>
      <x:c r="V77" s="163"/>
      <x:c r="W77" s="163"/>
      <x:c r="X77" s="163"/>
      <x:c r="Y77" s="163"/>
      <x:c r="Z77" s="163"/>
    </x:row>
    <x:row r="78" ht="15" hidden="0" customHeight="1">
      <x:c r="A78" s="163"/>
      <x:c r="B78" s="163"/>
      <x:c r="C78" s="163"/>
      <x:c r="D78" s="163"/>
      <x:c r="E78" s="163"/>
      <x:c r="F78" s="163"/>
      <x:c r="G78" s="163"/>
      <x:c r="H78" s="163"/>
      <x:c r="I78" s="163"/>
      <x:c r="J78" s="163"/>
      <x:c r="K78" s="163"/>
      <x:c r="L78" s="163"/>
      <x:c r="M78" s="163"/>
      <x:c r="N78" s="163"/>
      <x:c r="O78" s="163"/>
      <x:c r="P78" s="163"/>
      <x:c r="Q78" s="163"/>
      <x:c r="R78" s="163"/>
      <x:c r="S78" s="163"/>
      <x:c r="T78" s="163"/>
      <x:c r="U78" s="163"/>
      <x:c r="V78" s="163"/>
      <x:c r="W78" s="163"/>
      <x:c r="X78" s="163"/>
      <x:c r="Y78" s="163"/>
      <x:c r="Z78" s="163"/>
    </x:row>
    <x:row r="79" ht="15" hidden="0" customHeight="1">
      <x:c r="A79" s="163"/>
      <x:c r="B79" s="163"/>
      <x:c r="C79" s="163"/>
      <x:c r="D79" s="163"/>
      <x:c r="E79" s="163"/>
      <x:c r="F79" s="163"/>
      <x:c r="G79" s="163"/>
      <x:c r="H79" s="163"/>
      <x:c r="I79" s="163"/>
      <x:c r="J79" s="163"/>
      <x:c r="K79" s="163"/>
      <x:c r="L79" s="163"/>
      <x:c r="M79" s="163"/>
      <x:c r="N79" s="163"/>
      <x:c r="O79" s="163"/>
      <x:c r="P79" s="163"/>
      <x:c r="Q79" s="163"/>
      <x:c r="R79" s="163"/>
      <x:c r="S79" s="163"/>
      <x:c r="T79" s="163"/>
      <x:c r="U79" s="163"/>
      <x:c r="V79" s="163"/>
      <x:c r="W79" s="163"/>
      <x:c r="X79" s="163"/>
      <x:c r="Y79" s="163"/>
      <x:c r="Z79" s="163"/>
    </x:row>
    <x:row r="80" ht="15" hidden="0" customHeight="1">
      <x:c r="A80" s="163"/>
      <x:c r="B80" s="163"/>
      <x:c r="C80" s="163"/>
      <x:c r="D80" s="163"/>
      <x:c r="E80" s="163"/>
      <x:c r="F80" s="163"/>
      <x:c r="G80" s="163"/>
      <x:c r="H80" s="163"/>
      <x:c r="I80" s="163"/>
      <x:c r="J80" s="163"/>
      <x:c r="K80" s="163"/>
      <x:c r="L80" s="163"/>
      <x:c r="M80" s="163"/>
      <x:c r="N80" s="163"/>
      <x:c r="O80" s="163"/>
      <x:c r="P80" s="163"/>
      <x:c r="Q80" s="163"/>
      <x:c r="R80" s="163"/>
      <x:c r="S80" s="163"/>
      <x:c r="T80" s="163"/>
      <x:c r="U80" s="163"/>
      <x:c r="V80" s="163"/>
      <x:c r="W80" s="163"/>
      <x:c r="X80" s="163"/>
      <x:c r="Y80" s="163"/>
      <x:c r="Z80" s="163"/>
    </x:row>
    <x:row r="81" ht="15" hidden="0" customHeight="1">
      <x:c r="A81" s="163"/>
      <x:c r="B81" s="163"/>
      <x:c r="C81" s="163"/>
      <x:c r="D81" s="163"/>
      <x:c r="E81" s="163"/>
      <x:c r="F81" s="163"/>
      <x:c r="G81" s="163"/>
      <x:c r="H81" s="163"/>
      <x:c r="I81" s="163"/>
      <x:c r="J81" s="163"/>
      <x:c r="K81" s="163"/>
      <x:c r="L81" s="163"/>
      <x:c r="M81" s="163"/>
      <x:c r="N81" s="163"/>
      <x:c r="O81" s="163"/>
      <x:c r="P81" s="163"/>
      <x:c r="Q81" s="163"/>
      <x:c r="R81" s="163"/>
      <x:c r="S81" s="163"/>
      <x:c r="T81" s="163"/>
      <x:c r="U81" s="163"/>
      <x:c r="V81" s="163"/>
      <x:c r="W81" s="163"/>
      <x:c r="X81" s="163"/>
      <x:c r="Y81" s="163"/>
      <x:c r="Z81" s="163"/>
    </x:row>
    <x:row r="82" ht="15" hidden="0" customHeight="1">
      <x:c r="A82" s="163"/>
      <x:c r="B82" s="163"/>
      <x:c r="C82" s="163"/>
      <x:c r="D82" s="163"/>
      <x:c r="E82" s="163"/>
      <x:c r="F82" s="163"/>
      <x:c r="G82" s="163"/>
      <x:c r="H82" s="163"/>
      <x:c r="I82" s="163"/>
      <x:c r="J82" s="163"/>
      <x:c r="K82" s="163"/>
      <x:c r="L82" s="163"/>
      <x:c r="M82" s="163"/>
      <x:c r="N82" s="163"/>
      <x:c r="O82" s="163"/>
      <x:c r="P82" s="163"/>
      <x:c r="Q82" s="163"/>
      <x:c r="R82" s="163"/>
      <x:c r="S82" s="163"/>
      <x:c r="T82" s="163"/>
      <x:c r="U82" s="163"/>
      <x:c r="V82" s="163"/>
      <x:c r="W82" s="163"/>
      <x:c r="X82" s="163"/>
      <x:c r="Y82" s="163"/>
      <x:c r="Z82" s="163"/>
    </x:row>
    <x:row r="83" ht="15" hidden="0" customHeight="1">
      <x:c r="A83" s="163"/>
      <x:c r="B83" s="163"/>
      <x:c r="C83" s="163"/>
      <x:c r="D83" s="163"/>
      <x:c r="E83" s="163"/>
      <x:c r="F83" s="163"/>
      <x:c r="G83" s="163"/>
      <x:c r="H83" s="163"/>
      <x:c r="I83" s="163"/>
      <x:c r="J83" s="163"/>
      <x:c r="K83" s="163"/>
      <x:c r="L83" s="163"/>
      <x:c r="M83" s="163"/>
      <x:c r="N83" s="163"/>
      <x:c r="O83" s="163"/>
      <x:c r="P83" s="163"/>
      <x:c r="Q83" s="163"/>
      <x:c r="R83" s="163"/>
      <x:c r="S83" s="163"/>
      <x:c r="T83" s="163"/>
      <x:c r="U83" s="163"/>
      <x:c r="V83" s="163"/>
      <x:c r="W83" s="163"/>
      <x:c r="X83" s="163"/>
      <x:c r="Y83" s="163"/>
      <x:c r="Z83" s="163"/>
    </x:row>
    <x:row r="84" ht="15" hidden="0" customHeight="1">
      <x:c r="A84" s="163"/>
      <x:c r="B84" s="163"/>
      <x:c r="C84" s="163"/>
      <x:c r="D84" s="163"/>
      <x:c r="E84" s="163"/>
      <x:c r="F84" s="163"/>
      <x:c r="G84" s="163"/>
      <x:c r="H84" s="163"/>
      <x:c r="I84" s="163"/>
      <x:c r="J84" s="163"/>
      <x:c r="K84" s="163"/>
      <x:c r="L84" s="163"/>
      <x:c r="M84" s="163"/>
      <x:c r="N84" s="163"/>
      <x:c r="O84" s="163"/>
      <x:c r="P84" s="163"/>
      <x:c r="Q84" s="163"/>
      <x:c r="R84" s="163"/>
      <x:c r="S84" s="163"/>
      <x:c r="T84" s="163"/>
      <x:c r="U84" s="163"/>
      <x:c r="V84" s="163"/>
      <x:c r="W84" s="163"/>
      <x:c r="X84" s="163"/>
      <x:c r="Y84" s="163"/>
      <x:c r="Z84" s="163"/>
    </x:row>
    <x:row r="85" ht="15" hidden="0" customHeight="1">
      <x:c r="A85" s="163"/>
      <x:c r="B85" s="163"/>
      <x:c r="C85" s="163"/>
      <x:c r="D85" s="163"/>
      <x:c r="E85" s="163"/>
      <x:c r="F85" s="163"/>
      <x:c r="G85" s="163"/>
      <x:c r="H85" s="163"/>
      <x:c r="I85" s="163"/>
      <x:c r="J85" s="163"/>
      <x:c r="K85" s="163"/>
      <x:c r="L85" s="163"/>
      <x:c r="M85" s="163"/>
      <x:c r="N85" s="163"/>
      <x:c r="O85" s="163"/>
      <x:c r="P85" s="163"/>
      <x:c r="Q85" s="163"/>
      <x:c r="R85" s="163"/>
      <x:c r="S85" s="163"/>
      <x:c r="T85" s="163"/>
      <x:c r="U85" s="163"/>
      <x:c r="V85" s="163"/>
      <x:c r="W85" s="163"/>
      <x:c r="X85" s="163"/>
      <x:c r="Y85" s="163"/>
      <x:c r="Z85" s="163"/>
    </x:row>
    <x:row r="86" ht="15" hidden="0" customHeight="1">
      <x:c r="A86" s="163"/>
      <x:c r="B86" s="163"/>
      <x:c r="C86" s="163"/>
      <x:c r="D86" s="163"/>
      <x:c r="E86" s="163"/>
      <x:c r="F86" s="163"/>
      <x:c r="G86" s="163"/>
      <x:c r="H86" s="163"/>
      <x:c r="I86" s="163"/>
      <x:c r="J86" s="163"/>
      <x:c r="K86" s="163"/>
      <x:c r="L86" s="163"/>
      <x:c r="M86" s="163"/>
      <x:c r="N86" s="163"/>
      <x:c r="O86" s="163"/>
      <x:c r="P86" s="163"/>
      <x:c r="Q86" s="163"/>
      <x:c r="R86" s="163"/>
      <x:c r="S86" s="163"/>
      <x:c r="T86" s="163"/>
      <x:c r="U86" s="163"/>
      <x:c r="V86" s="163"/>
      <x:c r="W86" s="163"/>
      <x:c r="X86" s="163"/>
      <x:c r="Y86" s="163"/>
      <x:c r="Z86" s="163"/>
    </x:row>
    <x:row r="87" ht="15" hidden="0" customHeight="1">
      <x:c r="A87" s="163"/>
      <x:c r="B87" s="163"/>
      <x:c r="C87" s="163"/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63"/>
      <x:c r="S87" s="163"/>
      <x:c r="T87" s="163"/>
      <x:c r="U87" s="163"/>
      <x:c r="V87" s="163"/>
      <x:c r="W87" s="163"/>
      <x:c r="X87" s="163"/>
      <x:c r="Y87" s="163"/>
      <x:c r="Z87" s="163"/>
    </x:row>
    <x:row r="88" ht="15" hidden="0" customHeight="1">
      <x:c r="A88" s="163"/>
      <x:c r="B88" s="163"/>
      <x:c r="C88" s="163"/>
      <x:c r="D88" s="163"/>
      <x:c r="E88" s="163"/>
      <x:c r="F88" s="163"/>
      <x:c r="G88" s="163"/>
      <x:c r="H88" s="163"/>
      <x:c r="I88" s="163"/>
      <x:c r="J88" s="163"/>
      <x:c r="K88" s="163"/>
      <x:c r="L88" s="163"/>
      <x:c r="M88" s="163"/>
      <x:c r="N88" s="163"/>
      <x:c r="O88" s="163"/>
      <x:c r="P88" s="163"/>
      <x:c r="Q88" s="163"/>
      <x:c r="R88" s="163"/>
      <x:c r="S88" s="163"/>
      <x:c r="T88" s="163"/>
      <x:c r="U88" s="163"/>
      <x:c r="V88" s="163"/>
      <x:c r="W88" s="163"/>
      <x:c r="X88" s="163"/>
      <x:c r="Y88" s="163"/>
      <x:c r="Z88" s="163"/>
    </x:row>
    <x:row r="89" ht="15" hidden="0" customHeight="1">
      <x:c r="A89" s="163"/>
      <x:c r="B89" s="163"/>
      <x:c r="C89" s="163"/>
      <x:c r="D89" s="163"/>
      <x:c r="E89" s="163"/>
      <x:c r="F89" s="163"/>
      <x:c r="G89" s="163"/>
      <x:c r="H89" s="163"/>
      <x:c r="I89" s="163"/>
      <x:c r="J89" s="163"/>
      <x:c r="K89" s="163"/>
      <x:c r="L89" s="163"/>
      <x:c r="M89" s="163"/>
      <x:c r="N89" s="163"/>
      <x:c r="O89" s="163"/>
      <x:c r="P89" s="163"/>
      <x:c r="Q89" s="163"/>
      <x:c r="R89" s="163"/>
      <x:c r="S89" s="163"/>
      <x:c r="T89" s="163"/>
      <x:c r="U89" s="163"/>
      <x:c r="V89" s="163"/>
      <x:c r="W89" s="163"/>
      <x:c r="X89" s="163"/>
      <x:c r="Y89" s="163"/>
      <x:c r="Z89" s="163"/>
    </x:row>
    <x:row r="90" ht="15" hidden="0" customHeight="1">
      <x:c r="A90" s="163"/>
      <x:c r="B90" s="163"/>
      <x:c r="C90" s="163"/>
      <x:c r="D90" s="163"/>
      <x:c r="E90" s="163"/>
      <x:c r="F90" s="163"/>
      <x:c r="G90" s="163"/>
      <x:c r="H90" s="163"/>
      <x:c r="I90" s="163"/>
      <x:c r="J90" s="163"/>
      <x:c r="K90" s="163"/>
      <x:c r="L90" s="163"/>
      <x:c r="M90" s="163"/>
      <x:c r="N90" s="163"/>
      <x:c r="O90" s="163"/>
      <x:c r="P90" s="163"/>
      <x:c r="Q90" s="163"/>
      <x:c r="R90" s="163"/>
      <x:c r="S90" s="163"/>
      <x:c r="T90" s="163"/>
      <x:c r="U90" s="163"/>
      <x:c r="V90" s="163"/>
      <x:c r="W90" s="163"/>
      <x:c r="X90" s="163"/>
      <x:c r="Y90" s="163"/>
      <x:c r="Z90" s="163"/>
    </x:row>
    <x:row r="91" ht="15" hidden="0" customHeight="1">
      <x:c r="A91" s="163"/>
      <x:c r="B91" s="163"/>
      <x:c r="C91" s="163"/>
      <x:c r="D91" s="163"/>
      <x:c r="E91" s="163"/>
      <x:c r="F91" s="163"/>
      <x:c r="G91" s="163"/>
      <x:c r="H91" s="163"/>
      <x:c r="I91" s="163"/>
      <x:c r="J91" s="163"/>
      <x:c r="K91" s="163"/>
      <x:c r="L91" s="163"/>
      <x:c r="M91" s="163"/>
      <x:c r="N91" s="163"/>
      <x:c r="O91" s="163"/>
      <x:c r="P91" s="163"/>
      <x:c r="Q91" s="163"/>
      <x:c r="R91" s="163"/>
      <x:c r="S91" s="163"/>
      <x:c r="T91" s="163"/>
      <x:c r="U91" s="163"/>
      <x:c r="V91" s="163"/>
      <x:c r="W91" s="163"/>
      <x:c r="X91" s="163"/>
      <x:c r="Y91" s="163"/>
      <x:c r="Z91" s="163"/>
    </x:row>
    <x:row r="92" ht="15" hidden="0" customHeight="1">
      <x:c r="A92" s="163"/>
      <x:c r="B92" s="163"/>
      <x:c r="C92" s="163"/>
      <x:c r="D92" s="163"/>
      <x:c r="E92" s="163"/>
      <x:c r="F92" s="163"/>
      <x:c r="G92" s="163"/>
      <x:c r="H92" s="163"/>
      <x:c r="I92" s="163"/>
      <x:c r="J92" s="163"/>
      <x:c r="K92" s="163"/>
      <x:c r="L92" s="163"/>
      <x:c r="M92" s="163"/>
      <x:c r="N92" s="163"/>
      <x:c r="O92" s="163"/>
      <x:c r="P92" s="163"/>
      <x:c r="Q92" s="163"/>
      <x:c r="R92" s="163"/>
      <x:c r="S92" s="163"/>
      <x:c r="T92" s="163"/>
      <x:c r="U92" s="163"/>
      <x:c r="V92" s="163"/>
      <x:c r="W92" s="163"/>
      <x:c r="X92" s="163"/>
      <x:c r="Y92" s="163"/>
      <x:c r="Z92" s="163"/>
    </x:row>
    <x:row r="93" ht="15" hidden="0" customHeight="1">
      <x:c r="A93" s="163"/>
      <x:c r="B93" s="163"/>
      <x:c r="C93" s="163"/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63"/>
      <x:c r="S93" s="163"/>
      <x:c r="T93" s="163"/>
      <x:c r="U93" s="163"/>
      <x:c r="V93" s="163"/>
      <x:c r="W93" s="163"/>
      <x:c r="X93" s="163"/>
      <x:c r="Y93" s="163"/>
      <x:c r="Z93" s="163"/>
    </x:row>
    <x:row r="94" ht="15" hidden="0" customHeight="1">
      <x:c r="A94" s="163"/>
      <x:c r="B94" s="163"/>
      <x:c r="C94" s="163"/>
      <x:c r="D94" s="163"/>
      <x:c r="E94" s="163"/>
      <x:c r="F94" s="163"/>
      <x:c r="G94" s="163"/>
      <x:c r="H94" s="163"/>
      <x:c r="I94" s="163"/>
      <x:c r="J94" s="163"/>
      <x:c r="K94" s="163"/>
      <x:c r="L94" s="163"/>
      <x:c r="M94" s="163"/>
      <x:c r="N94" s="163"/>
      <x:c r="O94" s="163"/>
      <x:c r="P94" s="163"/>
      <x:c r="Q94" s="163"/>
      <x:c r="R94" s="163"/>
      <x:c r="S94" s="163"/>
      <x:c r="T94" s="163"/>
      <x:c r="U94" s="163"/>
      <x:c r="V94" s="163"/>
      <x:c r="W94" s="163"/>
      <x:c r="X94" s="163"/>
      <x:c r="Y94" s="163"/>
      <x:c r="Z94" s="163"/>
    </x:row>
    <x:row r="95" ht="15" hidden="0" customHeight="1">
      <x:c r="A95" s="163"/>
      <x:c r="B95" s="163"/>
      <x:c r="C95" s="163"/>
      <x:c r="D95" s="163"/>
      <x:c r="E95" s="163"/>
      <x:c r="F95" s="163"/>
      <x:c r="G95" s="163"/>
      <x:c r="H95" s="163"/>
      <x:c r="I95" s="163"/>
      <x:c r="J95" s="163"/>
      <x:c r="K95" s="163"/>
      <x:c r="L95" s="163"/>
      <x:c r="M95" s="163"/>
      <x:c r="N95" s="163"/>
      <x:c r="O95" s="163"/>
      <x:c r="P95" s="163"/>
      <x:c r="Q95" s="163"/>
      <x:c r="R95" s="163"/>
      <x:c r="S95" s="163"/>
      <x:c r="T95" s="163"/>
      <x:c r="U95" s="163"/>
      <x:c r="V95" s="163"/>
      <x:c r="W95" s="163"/>
      <x:c r="X95" s="163"/>
      <x:c r="Y95" s="163"/>
      <x:c r="Z95" s="163"/>
    </x:row>
    <x:row r="96" ht="15" hidden="0" customHeight="1">
      <x:c r="A96" s="163"/>
      <x:c r="B96" s="163"/>
      <x:c r="C96" s="163"/>
      <x:c r="D96" s="163"/>
      <x:c r="E96" s="163"/>
      <x:c r="F96" s="163"/>
      <x:c r="G96" s="163"/>
      <x:c r="H96" s="163"/>
      <x:c r="I96" s="163"/>
      <x:c r="J96" s="163"/>
      <x:c r="K96" s="163"/>
      <x:c r="L96" s="163"/>
      <x:c r="M96" s="163"/>
      <x:c r="N96" s="163"/>
      <x:c r="O96" s="163"/>
      <x:c r="P96" s="163"/>
      <x:c r="Q96" s="163"/>
      <x:c r="R96" s="163"/>
      <x:c r="S96" s="163"/>
      <x:c r="T96" s="163"/>
      <x:c r="U96" s="163"/>
      <x:c r="V96" s="163"/>
      <x:c r="W96" s="163"/>
      <x:c r="X96" s="163"/>
      <x:c r="Y96" s="163"/>
      <x:c r="Z96" s="163"/>
    </x:row>
    <x:row r="97" ht="15" hidden="0" customHeight="1">
      <x:c r="A97" s="163"/>
      <x:c r="B97" s="163"/>
      <x:c r="C97" s="163"/>
      <x:c r="D97" s="163"/>
      <x:c r="E97" s="163"/>
      <x:c r="F97" s="163"/>
      <x:c r="G97" s="163"/>
      <x:c r="H97" s="163"/>
      <x:c r="I97" s="163"/>
      <x:c r="J97" s="163"/>
      <x:c r="K97" s="163"/>
      <x:c r="L97" s="163"/>
      <x:c r="M97" s="163"/>
      <x:c r="N97" s="163"/>
      <x:c r="O97" s="163"/>
      <x:c r="P97" s="163"/>
      <x:c r="Q97" s="163"/>
      <x:c r="R97" s="163"/>
      <x:c r="S97" s="163"/>
      <x:c r="T97" s="163"/>
      <x:c r="U97" s="163"/>
      <x:c r="V97" s="163"/>
      <x:c r="W97" s="163"/>
      <x:c r="X97" s="163"/>
      <x:c r="Y97" s="163"/>
      <x:c r="Z97" s="163"/>
    </x:row>
    <x:row r="98" ht="15" hidden="0" customHeight="1">
      <x:c r="A98" s="163"/>
      <x:c r="B98" s="163"/>
      <x:c r="C98" s="163"/>
      <x:c r="D98" s="163"/>
      <x:c r="E98" s="163"/>
      <x:c r="F98" s="163"/>
      <x:c r="G98" s="163"/>
      <x:c r="H98" s="163"/>
      <x:c r="I98" s="163"/>
      <x:c r="J98" s="163"/>
      <x:c r="K98" s="163"/>
      <x:c r="L98" s="163"/>
      <x:c r="M98" s="163"/>
      <x:c r="N98" s="163"/>
      <x:c r="O98" s="163"/>
      <x:c r="P98" s="163"/>
      <x:c r="Q98" s="163"/>
      <x:c r="R98" s="163"/>
      <x:c r="S98" s="163"/>
      <x:c r="T98" s="163"/>
      <x:c r="U98" s="163"/>
      <x:c r="V98" s="163"/>
      <x:c r="W98" s="163"/>
      <x:c r="X98" s="163"/>
      <x:c r="Y98" s="163"/>
      <x:c r="Z98" s="163"/>
    </x:row>
    <x:row r="99" ht="15" hidden="0" customHeight="1">
      <x:c r="A99" s="163"/>
      <x:c r="B99" s="163"/>
      <x:c r="C99" s="163"/>
      <x:c r="D99" s="163"/>
      <x:c r="E99" s="163"/>
      <x:c r="F99" s="163"/>
      <x:c r="G99" s="163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63"/>
      <x:c r="S99" s="163"/>
      <x:c r="T99" s="163"/>
      <x:c r="U99" s="163"/>
      <x:c r="V99" s="163"/>
      <x:c r="W99" s="163"/>
      <x:c r="X99" s="163"/>
      <x:c r="Y99" s="163"/>
      <x:c r="Z99" s="163"/>
    </x:row>
    <x:row r="100" ht="15" hidden="0" customHeight="1">
      <x:c r="A100" s="163"/>
      <x:c r="B100" s="163"/>
      <x:c r="C100" s="163"/>
      <x:c r="D100" s="163"/>
      <x:c r="E100" s="163"/>
      <x:c r="F100" s="163"/>
      <x:c r="G100" s="163"/>
      <x:c r="H100" s="163"/>
      <x:c r="I100" s="163"/>
      <x:c r="J100" s="163"/>
      <x:c r="K100" s="163"/>
      <x:c r="L100" s="163"/>
      <x:c r="M100" s="163"/>
      <x:c r="N100" s="163"/>
      <x:c r="O100" s="163"/>
      <x:c r="P100" s="163"/>
      <x:c r="Q100" s="163"/>
      <x:c r="R100" s="163"/>
      <x:c r="S100" s="163"/>
      <x:c r="T100" s="163"/>
      <x:c r="U100" s="163"/>
      <x:c r="V100" s="163"/>
      <x:c r="W100" s="163"/>
      <x:c r="X100" s="163"/>
      <x:c r="Y100" s="163"/>
      <x:c r="Z100" s="163"/>
    </x:row>
  </x:sheetData>
  <x:mergeCells>
    <x:mergeCell ref="A1:H1"/>
    <x:mergeCell ref="A2:H2"/>
    <x:mergeCell ref="A20:H20"/>
    <x:mergeCell ref="D20:H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18" hidden="0" customWidth="1"/>
    <x:col min="8" max="8" width="40" hidden="0" customWidth="1"/>
  </x:cols>
  <x:sheetData>
    <x:row r="1" ht="16.799999237060547" hidden="0" customHeight="1">
      <x:c r="A1" s="226" t="str">
        <x:v>Valuation Triangulation — Independent Reconstruction vs Disclosed Fairness Ranges</x:v>
      </x:c>
      <x:c r="B1" s="226"/>
      <x:c r="C1" s="226"/>
      <x:c r="D1" s="226"/>
      <x:c r="E1" s="226"/>
      <x:c r="F1" s="226"/>
      <x:c r="G1" s="226"/>
      <x:c r="H1" s="226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 ht="15" hidden="0" customHeight="1">
      <x:c r="A2" s="164" t="str">
        <x:v>Offer price is compared against trading-comps, precedent-transaction and DCF reference ranges. No method is treated as a standalone appraisal.</x:v>
      </x:c>
      <x:c r="B2" s="164"/>
      <x:c r="C2" s="164"/>
      <x:c r="D2" s="164"/>
      <x:c r="E2" s="164"/>
      <x:c r="F2" s="164"/>
      <x:c r="G2" s="164"/>
      <x:c r="H2" s="164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 ht="15" hidden="0" customHeight="1">
      <x:c r="A3" s="165"/>
      <x:c r="B3" s="165"/>
      <x:c r="C3" s="165"/>
      <x:c r="D3" s="165"/>
      <x:c r="E3" s="165"/>
      <x:c r="F3" s="165"/>
      <x:c r="G3" s="165"/>
      <x:c r="H3" s="165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 ht="15" hidden="0" customHeight="1">
      <x:c r="A4" s="101" t="str">
        <x:v>SELECTED COMPANIES — RECONSTRUCTION</x:v>
      </x:c>
      <x:c r="B4" s="101"/>
      <x:c r="C4" s="101"/>
      <x:c r="D4" s="101"/>
      <x:c r="E4" s="101"/>
      <x:c r="F4" s="101"/>
      <x:c r="G4" s="101"/>
      <x:c r="H4" s="101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 ht="15" hidden="0" customHeight="1">
      <x:c r="A5" s="6" t="str">
        <x:v>Metric</x:v>
      </x:c>
      <x:c r="B5" s="6" t="str">
        <x:v>Low multiple</x:v>
      </x:c>
      <x:c r="C5" s="6" t="str">
        <x:v>High multiple</x:v>
      </x:c>
      <x:c r="D5" s="6" t="str">
        <x:v>EBITDA</x:v>
      </x:c>
      <x:c r="E5" s="6" t="str">
        <x:v>Implied EV low</x:v>
      </x:c>
      <x:c r="F5" s="6" t="str">
        <x:v>Implied EV high</x:v>
      </x:c>
      <x:c r="G5" s="6" t="str">
        <x:v>Implied $/sh low</x:v>
      </x:c>
      <x:c r="H5" s="6" t="str">
        <x:v>Implied $/sh high</x:v>
      </x:c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 ht="15" hidden="0" customHeight="1">
      <x:c r="A6" s="165" t="str">
        <x:v>2025E EBITDA</x:v>
      </x:c>
      <x:c r="B6" s="227" t="n">
        <x:v>10</x:v>
      </x:c>
      <x:c r="C6" s="227" t="n">
        <x:v>12</x:v>
      </x:c>
      <x:c r="D6" s="228" t="n">
        <x:f>'Model Inputs'!B32</x:f>
        <x:v>1146</x:v>
      </x:c>
      <x:c r="E6" s="228" t="n">
        <x:f>B6*D6</x:f>
        <x:v>11460</x:v>
      </x:c>
      <x:c r="F6" s="228" t="n">
        <x:f>C6*D6</x:f>
        <x:v>13752</x:v>
      </x:c>
      <x:c r="G6" s="168" t="n">
        <x:f>(E6-'Model Inputs'!$B$40)/'Model Inputs'!$B$41</x:f>
        <x:v>165.5049504950495</x:v>
      </x:c>
      <x:c r="H6" s="168" t="n">
        <x:f>(F6-'Model Inputs'!$B$40)/'Model Inputs'!$B$41</x:f>
        <x:v>213.16039603960397</x:v>
      </x:c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 ht="15" hidden="0" customHeight="1">
      <x:c r="A7" s="165" t="str">
        <x:v>2026E EBITDA</x:v>
      </x:c>
      <x:c r="B7" s="227" t="n">
        <x:v>9</x:v>
      </x:c>
      <x:c r="C7" s="227" t="n">
        <x:v>11</x:v>
      </x:c>
      <x:c r="D7" s="228" t="n">
        <x:f>'Model Inputs'!C32</x:f>
        <x:v>1286</x:v>
      </x:c>
      <x:c r="E7" s="228" t="n">
        <x:f>B7*D7</x:f>
        <x:v>11574</x:v>
      </x:c>
      <x:c r="F7" s="228" t="n">
        <x:f>C7*D7</x:f>
        <x:v>14146</x:v>
      </x:c>
      <x:c r="G7" s="168" t="n">
        <x:f>(E7-'Model Inputs'!$B$40)/'Model Inputs'!$B$41</x:f>
        <x:v>167.87524752475247</x:v>
      </x:c>
      <x:c r="H7" s="168" t="n">
        <x:f>(F7-'Model Inputs'!$B$40)/'Model Inputs'!$B$41</x:f>
        <x:v>221.35247524752475</x:v>
      </x:c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 ht="15" hidden="0" customHeight="1">
      <x:c r="A8" s="165"/>
      <x:c r="B8" s="165"/>
      <x:c r="C8" s="165"/>
      <x:c r="D8" s="165"/>
      <x:c r="E8" s="165"/>
      <x:c r="F8" s="165"/>
      <x:c r="G8" s="165"/>
      <x:c r="H8" s="165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 ht="15" hidden="0" customHeight="1">
      <x:c r="A9" s="165" t="str">
        <x:v>Independent reconstructed range</x:v>
      </x:c>
      <x:c r="B9" s="229" t="str">
        <x:f>TEXT(MIN(G6:G7),"$0.00")&amp;" – "&amp;TEXT(MAX(H6:H7),"$0.00")</x:f>
        <x:v>$165.50 – $221.35</x:v>
      </x:c>
      <x:c r="C9" s="165"/>
      <x:c r="D9" s="165"/>
      <x:c r="E9" s="165"/>
      <x:c r="F9" s="165"/>
      <x:c r="G9" s="165"/>
      <x:c r="H9" s="165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 ht="15" hidden="0" customHeight="1">
      <x:c r="A10" s="165" t="str">
        <x:v>Wells Fargo disclosed range</x:v>
      </x:c>
      <x:c r="B10" s="165" t="str">
        <x:v>167.63 – 223.06</x:v>
      </x:c>
      <x:c r="C10" s="165"/>
      <x:c r="D10" s="165"/>
      <x:c r="E10" s="165"/>
      <x:c r="F10" s="165"/>
      <x:c r="G10" s="165"/>
      <x:c r="H10" s="165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 ht="15" hidden="0" customHeight="1">
      <x:c r="A11" s="165"/>
      <x:c r="B11" s="165"/>
      <x:c r="C11" s="165"/>
      <x:c r="D11" s="165"/>
      <x:c r="E11" s="165"/>
      <x:c r="F11" s="165"/>
      <x:c r="G11" s="165"/>
      <x:c r="H11" s="165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 ht="15" hidden="0" customHeight="1">
      <x:c r="A12" s="101" t="str">
        <x:v>SELECTED PRECEDENT TRANSACTIONS — WELLS FARGO SET</x:v>
      </x:c>
      <x:c r="B12" s="101"/>
      <x:c r="C12" s="101"/>
      <x:c r="D12" s="101"/>
      <x:c r="E12" s="101"/>
      <x:c r="F12" s="101"/>
      <x:c r="G12" s="101"/>
      <x:c r="H12" s="101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 ht="15" hidden="0" customHeight="1">
      <x:c r="A13" s="6" t="str">
        <x:v>Date announced</x:v>
      </x:c>
      <x:c r="B13" s="6" t="str">
        <x:v>Target</x:v>
      </x:c>
      <x:c r="C13" s="6" t="str">
        <x:v>Acquiror</x:v>
      </x:c>
      <x:c r="D13" s="165"/>
      <x:c r="E13" s="6" t="str">
        <x:v>Metric</x:v>
      </x:c>
      <x:c r="F13" s="6" t="str">
        <x:v>Low</x:v>
      </x:c>
      <x:c r="G13" s="6" t="str">
        <x:v>High</x:v>
      </x:c>
      <x:c r="H13" s="6" t="str">
        <x:v>Notes</x:v>
      </x:c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 ht="52.79999923706055" hidden="0" customHeight="1">
      <x:c r="A14" s="165" t="str">
        <x:v>Jun 2025</x:v>
      </x:c>
      <x:c r="B14" s="165" t="str">
        <x:v>Baker Hughes Precision Sensors &amp; Instrumentation Business</x:v>
      </x:c>
      <x:c r="C14" s="165" t="str">
        <x:v>Crane Company</x:v>
      </x:c>
      <x:c r="D14" s="165"/>
      <x:c r="E14" s="165" t="str">
        <x:v>Disclosed precedent EV / LTM EBITDA</x:v>
      </x:c>
      <x:c r="F14" s="227" t="n">
        <x:v>11</x:v>
      </x:c>
      <x:c r="G14" s="227" t="n">
        <x:v>13</x:v>
      </x:c>
      <x:c r="H14" s="165" t="str">
        <x:v>Wells Fargo selected range</x:v>
      </x:c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 ht="52.79999923706055" hidden="0" customHeight="1">
      <x:c r="A15" s="165" t="str">
        <x:v>May 2025</x:v>
      </x:c>
      <x:c r="B15" s="165" t="str">
        <x:v>Johnson Matthey Catalyst Technologies Business</x:v>
      </x:c>
      <x:c r="C15" s="165" t="str">
        <x:v>Honeywell</x:v>
      </x:c>
      <x:c r="D15" s="165"/>
      <x:c r="E15" s="165" t="str">
        <x:v>Derived Chart LTM EBITDA</x:v>
      </x:c>
      <x:c r="F15" s="228" t="n">
        <x:f>((163.41*'Model Inputs'!$B$41)+'Model Inputs'!$B$40)/F14</x:f>
        <x:v>1032.6584415584416</x:v>
      </x:c>
      <x:c r="G15" s="228" t="n">
        <x:f>((205.70*'Model Inputs'!$B$41)+'Model Inputs'!$B$40)/G14</x:f>
        <x:v>1030.245421245421</x:v>
      </x:c>
      <x:c r="H15" s="165" t="str">
        <x:v>Back-solved from disclosed implied per-share endpoints; approximate</x:v>
      </x:c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 ht="26.399999618530273" hidden="0" customHeight="1">
      <x:c r="A16" s="165" t="str">
        <x:v>Mar 2025</x:v>
      </x:c>
      <x:c r="B16" s="165" t="str">
        <x:v>Sundyne LLC</x:v>
      </x:c>
      <x:c r="C16" s="165" t="str">
        <x:v>Honeywell</x:v>
      </x:c>
      <x:c r="D16" s="165"/>
      <x:c r="E16" s="165" t="str">
        <x:v>Independent reconstructed $/sh</x:v>
      </x:c>
      <x:c r="F16" s="168" t="n">
        <x:f>(F14*AVERAGE(F15:G15)-'Model Inputs'!$B$40)/'Model Inputs'!$B$41</x:f>
        <x:v>163.13405559786744</x:v>
      </x:c>
      <x:c r="G16" s="168" t="n">
        <x:f>(G14*AVERAGE(F15:G15)-'Model Inputs'!$B$40)/'Model Inputs'!$B$41</x:f>
        <x:v>206.02611611161112</x:v>
      </x:c>
      <x:c r="H16" s="165" t="str">
        <x:v>Uses rounded transaction net debt / diluted shares</x:v>
      </x:c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 ht="26.399999618530273" hidden="0" customHeight="1">
      <x:c r="A17" s="165" t="str">
        <x:v>Oct 2024</x:v>
      </x:c>
      <x:c r="B17" s="165" t="str">
        <x:v>Barnes Group Inc.</x:v>
      </x:c>
      <x:c r="C17" s="165" t="str">
        <x:v>Apollo Global Management</x:v>
      </x:c>
      <x:c r="D17" s="165"/>
      <x:c r="E17" s="165" t="str">
        <x:v>Wells Fargo disclosed $/sh</x:v>
      </x:c>
      <x:c r="F17" s="165" t="str">
        <x:v>163.41</x:v>
      </x:c>
      <x:c r="G17" s="165" t="str">
        <x:v>205.70</x:v>
      </x:c>
      <x:c r="H17" s="165" t="str">
        <x:v>Proxy disclosure</x:v>
      </x:c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39.599998474121094" hidden="0" customHeight="1">
      <x:c r="A18" s="165" t="str">
        <x:v>Jul 2024</x:v>
      </x:c>
      <x:c r="B18" s="165" t="str">
        <x:v>Dover Environmental Solutions Group</x:v>
      </x:c>
      <x:c r="C18" s="165" t="str">
        <x:v>Terex</x:v>
      </x:c>
      <x:c r="D18" s="165"/>
      <x:c r="E18" s="165"/>
      <x:c r="F18" s="165"/>
      <x:c r="G18" s="165"/>
      <x:c r="H18" s="165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 ht="39.599998474121094" hidden="0" customHeight="1">
      <x:c r="A19" s="165" t="str">
        <x:v>Jul 2024</x:v>
      </x:c>
      <x:c r="B19" s="165" t="str">
        <x:v>Air Products LNG Technology &amp; Equipment Business</x:v>
      </x:c>
      <x:c r="C19" s="165" t="str">
        <x:v>Honeywell</x:v>
      </x:c>
      <x:c r="D19" s="165"/>
      <x:c r="E19" s="165"/>
      <x:c r="F19" s="165"/>
      <x:c r="G19" s="165"/>
      <x:c r="H19" s="165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 ht="26.399999618530273" hidden="0" customHeight="1">
      <x:c r="A20" s="165" t="str">
        <x:v>Apr 2024</x:v>
      </x:c>
      <x:c r="B20" s="165" t="str">
        <x:v>ChampionX Corporation</x:v>
      </x:c>
      <x:c r="C20" s="165" t="str">
        <x:v>SLB</x:v>
      </x:c>
      <x:c r="D20" s="165"/>
      <x:c r="E20" s="165"/>
      <x:c r="F20" s="165"/>
      <x:c r="G20" s="165"/>
      <x:c r="H20" s="165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 ht="15" hidden="0" customHeight="1">
      <x:c r="A21" s="165" t="str">
        <x:v>Nov 2022</x:v>
      </x:c>
      <x:c r="B21" s="165" t="str">
        <x:v>Howden</x:v>
      </x:c>
      <x:c r="C21" s="165" t="str">
        <x:v>Chart Industries</x:v>
      </x:c>
      <x:c r="D21" s="165"/>
      <x:c r="E21" s="165"/>
      <x:c r="F21" s="165"/>
      <x:c r="G21" s="165"/>
      <x:c r="H21" s="165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 ht="15" hidden="0" customHeight="1">
      <x:c r="A22" s="165" t="str">
        <x:v>Dec 2021</x:v>
      </x:c>
      <x:c r="B22" s="165" t="str">
        <x:v>SPX Flow, Inc.</x:v>
      </x:c>
      <x:c r="C22" s="165" t="str">
        <x:v>Lone Star Funds</x:v>
      </x:c>
      <x:c r="D22" s="165"/>
      <x:c r="E22" s="165"/>
      <x:c r="F22" s="165"/>
      <x:c r="G22" s="165"/>
      <x:c r="H22" s="165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 ht="26.399999618530273" hidden="0" customHeight="1">
      <x:c r="A23" s="165" t="str">
        <x:v>Feb 2021</x:v>
      </x:c>
      <x:c r="B23" s="165" t="str">
        <x:v>Aegion Corporation</x:v>
      </x:c>
      <x:c r="C23" s="165" t="str">
        <x:v>New Mountain Capital</x:v>
      </x:c>
      <x:c r="D23" s="165"/>
      <x:c r="E23" s="165"/>
      <x:c r="F23" s="165"/>
      <x:c r="G23" s="165"/>
      <x:c r="H23" s="165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 ht="15" hidden="0" customHeight="1">
      <x:c r="A24" s="165"/>
      <x:c r="B24" s="165"/>
      <x:c r="C24" s="165"/>
      <x:c r="D24" s="165"/>
      <x:c r="E24" s="165"/>
      <x:c r="F24" s="165"/>
      <x:c r="G24" s="165"/>
      <x:c r="H24" s="165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 ht="15" hidden="0" customHeight="1">
      <x:c r="A25" s="101" t="str">
        <x:v>VALUATION SUMMARY</x:v>
      </x:c>
      <x:c r="B25" s="101"/>
      <x:c r="C25" s="101"/>
      <x:c r="D25" s="101"/>
      <x:c r="E25" s="101"/>
      <x:c r="F25" s="101"/>
      <x:c r="G25" s="101"/>
      <x:c r="H25" s="101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 ht="15" hidden="0" customHeight="1">
      <x:c r="A26" s="6" t="str">
        <x:v>Method</x:v>
      </x:c>
      <x:c r="B26" s="6" t="str">
        <x:v>Low</x:v>
      </x:c>
      <x:c r="C26" s="6" t="str">
        <x:v>High</x:v>
      </x:c>
      <x:c r="D26" s="6" t="str">
        <x:v>Midpoint</x:v>
      </x:c>
      <x:c r="E26" s="165"/>
      <x:c r="F26" s="6" t="str">
        <x:v>Metric</x:v>
      </x:c>
      <x:c r="G26" s="6" t="str">
        <x:v>Value</x:v>
      </x:c>
      <x:c r="H26" s="6" t="str">
        <x:v>Interpretation</x:v>
      </x:c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 ht="39.599998474121094" hidden="0" customHeight="1">
      <x:c r="A27" s="165" t="str">
        <x:v>Selected companies</x:v>
      </x:c>
      <x:c r="B27" s="168" t="n">
        <x:f>MIN(G6:G7)</x:f>
        <x:v>165.5049504950495</x:v>
      </x:c>
      <x:c r="C27" s="168" t="n">
        <x:f>MAX(H6:H7)</x:f>
        <x:v>221.35247524752475</x:v>
      </x:c>
      <x:c r="D27" s="168" t="n">
        <x:f>AVERAGE(B27:C27)</x:f>
        <x:v>193.42871287128713</x:v>
      </x:c>
      <x:c r="E27" s="165"/>
      <x:c r="F27" s="165" t="str">
        <x:v>Offer premium vs selected-comp midpoint</x:v>
      </x:c>
      <x:c r="G27" s="230" t="n">
        <x:f>'Model Inputs'!B5/D27-1</x:f>
        <x:v>0.08567128883155961</x:v>
      </x:c>
      <x:c r="H27" s="165" t="str">
        <x:v>Positive means offer above reconstructed midpoint</x:v>
      </x:c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 ht="26.399999618530273" hidden="0" customHeight="1">
      <x:c r="A28" s="165" t="str">
        <x:v>Selected transactions</x:v>
      </x:c>
      <x:c r="B28" s="168" t="n">
        <x:v>163.41</x:v>
      </x:c>
      <x:c r="C28" s="168" t="n">
        <x:v>205.7</x:v>
      </x:c>
      <x:c r="D28" s="168" t="n">
        <x:f>AVERAGE(B28:C28)</x:f>
        <x:v>184.555</x:v>
      </x:c>
      <x:c r="E28" s="165"/>
      <x:c r="F28" s="165" t="str">
        <x:v>Offer premium vs precedent midpoint</x:v>
      </x:c>
      <x:c r="G28" s="230" t="n">
        <x:f>'Model Inputs'!B5/D28-1</x:f>
        <x:v>0.13787217902522286</x:v>
      </x:c>
      <x:c r="H28" s="165" t="str">
        <x:v>Positive means offer above precedent midpoint</x:v>
      </x:c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 ht="39.599998474121094" hidden="0" customHeight="1">
      <x:c r="A29" s="165" t="str">
        <x:v>Independent DCF</x:v>
      </x:c>
      <x:c r="B29" s="168" t="n">
        <x:v>165.12</x:v>
      </x:c>
      <x:c r="C29" s="168" t="n">
        <x:v>224.42</x:v>
      </x:c>
      <x:c r="D29" s="168" t="n">
        <x:f>AVERAGE(B29:C29)</x:f>
        <x:v>194.76999999999998</x:v>
      </x:c>
      <x:c r="E29" s="165"/>
      <x:c r="F29" s="165" t="str">
        <x:v>Offer premium vs independent DCF midpoint</x:v>
      </x:c>
      <x:c r="G29" s="230" t="n">
        <x:f>'Model Inputs'!B5/D29-1</x:f>
        <x:v>0.07819479385942407</x:v>
      </x:c>
      <x:c r="H29" s="165" t="str">
        <x:v>Positive means offer above independent DCF midpoint</x:v>
      </x:c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 ht="26.399999618530273" hidden="0" customHeight="1">
      <x:c r="A30" s="165" t="str">
        <x:v>Offer price</x:v>
      </x:c>
      <x:c r="B30" s="168" t="n">
        <x:f>'Model Inputs'!B5</x:f>
        <x:v>210</x:v>
      </x:c>
      <x:c r="C30" s="168" t="n">
        <x:f>'Model Inputs'!B5</x:f>
        <x:v>210</x:v>
      </x:c>
      <x:c r="D30" s="168" t="n">
        <x:f>AVERAGE(B30:C30)</x:f>
        <x:v>210</x:v>
      </x:c>
      <x:c r="E30" s="165"/>
      <x:c r="F30" s="165" t="str">
        <x:v>Headline EV / 2025E EBITDA</x:v>
      </x:c>
      <x:c r="G30" s="231" t="n">
        <x:f>'Model Inputs'!B7/'Model Inputs'!B32</x:f>
        <x:v>11.8673647469459</x:v>
      </x:c>
      <x:c r="H30" s="165" t="str">
        <x:v>Before synergies</x:v>
      </x:c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 ht="15" hidden="0" customHeight="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 ht="15" hidden="0" customHeight="1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 ht="15" hidden="0" customHeight="1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 ht="15" hidden="0" customHeight="1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 ht="15" hidden="0" customHeight="1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 ht="15" hidden="0" customHeight="1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 ht="15" hidden="0" customHeight="1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 ht="15" hidden="0" customHeight="1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 ht="15" hidden="0" customHeight="1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 ht="15" hidden="0" customHeight="1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 ht="15" hidden="0" customHeight="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 ht="15" hidden="0" customHeight="1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 ht="15" hidden="0" customHeight="1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 ht="15" hidden="0" customHeight="1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 ht="15" hidden="0" customHeight="1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 ht="15" hidden="0" customHeight="1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 ht="15" hidden="0" customHeight="1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 ht="15" hidden="0" customHeight="1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 ht="15" hidden="0" customHeight="1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 ht="15" hidden="0" customHeight="1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 ht="15" hidden="0" customHeight="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 ht="15" hidden="0" customHeight="1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 ht="15" hidden="0" customHeight="1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 ht="15" hidden="0" customHeight="1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 ht="15" hidden="0" customHeight="1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 ht="15" hidden="0" customHeight="1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 ht="15" hidden="0" customHeight="1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 ht="15" hidden="0" customHeight="1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 ht="15" hidden="0" customHeight="1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 ht="15" hidden="0" customHeight="1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  <x:row r="61" ht="15" hidden="0" customHeight="1">
      <x:c r="A61" s="163"/>
      <x:c r="B61" s="163"/>
      <x:c r="C61" s="163"/>
      <x:c r="D61" s="163"/>
      <x:c r="E61" s="163"/>
      <x:c r="F61" s="163"/>
      <x:c r="G61" s="163"/>
      <x:c r="H61" s="163"/>
      <x:c r="I61" s="163"/>
      <x:c r="J61" s="163"/>
      <x:c r="K61" s="163"/>
      <x:c r="L61" s="163"/>
      <x:c r="M61" s="163"/>
      <x:c r="N61" s="163"/>
      <x:c r="O61" s="163"/>
      <x:c r="P61" s="163"/>
      <x:c r="Q61" s="163"/>
      <x:c r="R61" s="163"/>
      <x:c r="S61" s="163"/>
      <x:c r="T61" s="163"/>
      <x:c r="U61" s="163"/>
      <x:c r="V61" s="163"/>
      <x:c r="W61" s="163"/>
      <x:c r="X61" s="163"/>
      <x:c r="Y61" s="163"/>
      <x:c r="Z61" s="163"/>
    </x:row>
    <x:row r="62" ht="15" hidden="0" customHeight="1">
      <x:c r="A62" s="163"/>
      <x:c r="B62" s="163"/>
      <x:c r="C62" s="163"/>
      <x:c r="D62" s="163"/>
      <x:c r="E62" s="163"/>
      <x:c r="F62" s="163"/>
      <x:c r="G62" s="163"/>
      <x:c r="H62" s="163"/>
      <x:c r="I62" s="163"/>
      <x:c r="J62" s="163"/>
      <x:c r="K62" s="163"/>
      <x:c r="L62" s="163"/>
      <x:c r="M62" s="163"/>
      <x:c r="N62" s="163"/>
      <x:c r="O62" s="163"/>
      <x:c r="P62" s="163"/>
      <x:c r="Q62" s="163"/>
      <x:c r="R62" s="163"/>
      <x:c r="S62" s="163"/>
      <x:c r="T62" s="163"/>
      <x:c r="U62" s="163"/>
      <x:c r="V62" s="163"/>
      <x:c r="W62" s="163"/>
      <x:c r="X62" s="163"/>
      <x:c r="Y62" s="163"/>
      <x:c r="Z62" s="163"/>
    </x:row>
    <x:row r="63" ht="15" hidden="0" customHeight="1">
      <x:c r="A63" s="163"/>
      <x:c r="B63" s="163"/>
      <x:c r="C63" s="163"/>
      <x:c r="D63" s="163"/>
      <x:c r="E63" s="163"/>
      <x:c r="F63" s="163"/>
      <x:c r="G63" s="163"/>
      <x:c r="H63" s="163"/>
      <x:c r="I63" s="163"/>
      <x:c r="J63" s="163"/>
      <x:c r="K63" s="163"/>
      <x:c r="L63" s="163"/>
      <x:c r="M63" s="163"/>
      <x:c r="N63" s="163"/>
      <x:c r="O63" s="163"/>
      <x:c r="P63" s="163"/>
      <x:c r="Q63" s="163"/>
      <x:c r="R63" s="163"/>
      <x:c r="S63" s="163"/>
      <x:c r="T63" s="163"/>
      <x:c r="U63" s="163"/>
      <x:c r="V63" s="163"/>
      <x:c r="W63" s="163"/>
      <x:c r="X63" s="163"/>
      <x:c r="Y63" s="163"/>
      <x:c r="Z63" s="163"/>
    </x:row>
    <x:row r="64" ht="15" hidden="0" customHeight="1">
      <x:c r="A64" s="163"/>
      <x:c r="B64" s="163"/>
      <x:c r="C64" s="163"/>
      <x:c r="D64" s="163"/>
      <x:c r="E64" s="163"/>
      <x:c r="F64" s="163"/>
      <x:c r="G64" s="163"/>
      <x:c r="H64" s="163"/>
      <x:c r="I64" s="163"/>
      <x:c r="J64" s="163"/>
      <x:c r="K64" s="163"/>
      <x:c r="L64" s="163"/>
      <x:c r="M64" s="163"/>
      <x:c r="N64" s="163"/>
      <x:c r="O64" s="163"/>
      <x:c r="P64" s="163"/>
      <x:c r="Q64" s="163"/>
      <x:c r="R64" s="163"/>
      <x:c r="S64" s="163"/>
      <x:c r="T64" s="163"/>
      <x:c r="U64" s="163"/>
      <x:c r="V64" s="163"/>
      <x:c r="W64" s="163"/>
      <x:c r="X64" s="163"/>
      <x:c r="Y64" s="163"/>
      <x:c r="Z64" s="163"/>
    </x:row>
    <x:row r="65" ht="15" hidden="0" customHeight="1">
      <x:c r="A65" s="163"/>
      <x:c r="B65" s="163"/>
      <x:c r="C65" s="163"/>
      <x:c r="D65" s="163"/>
      <x:c r="E65" s="163"/>
      <x:c r="F65" s="163"/>
      <x:c r="G65" s="163"/>
      <x:c r="H65" s="163"/>
      <x:c r="I65" s="163"/>
      <x:c r="J65" s="163"/>
      <x:c r="K65" s="163"/>
      <x:c r="L65" s="163"/>
      <x:c r="M65" s="163"/>
      <x:c r="N65" s="163"/>
      <x:c r="O65" s="163"/>
      <x:c r="P65" s="163"/>
      <x:c r="Q65" s="163"/>
      <x:c r="R65" s="163"/>
      <x:c r="S65" s="163"/>
      <x:c r="T65" s="163"/>
      <x:c r="U65" s="163"/>
      <x:c r="V65" s="163"/>
      <x:c r="W65" s="163"/>
      <x:c r="X65" s="163"/>
      <x:c r="Y65" s="163"/>
      <x:c r="Z65" s="163"/>
    </x:row>
    <x:row r="66" ht="15" hidden="0" customHeight="1">
      <x:c r="A66" s="163"/>
      <x:c r="B66" s="163"/>
      <x:c r="C66" s="163"/>
      <x:c r="D66" s="163"/>
      <x:c r="E66" s="163"/>
      <x:c r="F66" s="163"/>
      <x:c r="G66" s="163"/>
      <x:c r="H66" s="163"/>
      <x:c r="I66" s="163"/>
      <x:c r="J66" s="163"/>
      <x:c r="K66" s="163"/>
      <x:c r="L66" s="163"/>
      <x:c r="M66" s="163"/>
      <x:c r="N66" s="163"/>
      <x:c r="O66" s="163"/>
      <x:c r="P66" s="163"/>
      <x:c r="Q66" s="163"/>
      <x:c r="R66" s="163"/>
      <x:c r="S66" s="163"/>
      <x:c r="T66" s="163"/>
      <x:c r="U66" s="163"/>
      <x:c r="V66" s="163"/>
      <x:c r="W66" s="163"/>
      <x:c r="X66" s="163"/>
      <x:c r="Y66" s="163"/>
      <x:c r="Z66" s="163"/>
    </x:row>
    <x:row r="67" ht="15" hidden="0" customHeight="1">
      <x:c r="A67" s="163"/>
      <x:c r="B67" s="163"/>
      <x:c r="C67" s="163"/>
      <x:c r="D67" s="163"/>
      <x:c r="E67" s="163"/>
      <x:c r="F67" s="163"/>
      <x:c r="G67" s="163"/>
      <x:c r="H67" s="163"/>
      <x:c r="I67" s="163"/>
      <x:c r="J67" s="163"/>
      <x:c r="K67" s="163"/>
      <x:c r="L67" s="163"/>
      <x:c r="M67" s="163"/>
      <x:c r="N67" s="163"/>
      <x:c r="O67" s="163"/>
      <x:c r="P67" s="163"/>
      <x:c r="Q67" s="163"/>
      <x:c r="R67" s="163"/>
      <x:c r="S67" s="163"/>
      <x:c r="T67" s="163"/>
      <x:c r="U67" s="163"/>
      <x:c r="V67" s="163"/>
      <x:c r="W67" s="163"/>
      <x:c r="X67" s="163"/>
      <x:c r="Y67" s="163"/>
      <x:c r="Z67" s="163"/>
    </x:row>
    <x:row r="68" ht="15" hidden="0" customHeight="1">
      <x:c r="A68" s="163"/>
      <x:c r="B68" s="163"/>
      <x:c r="C68" s="163"/>
      <x:c r="D68" s="163"/>
      <x:c r="E68" s="163"/>
      <x:c r="F68" s="163"/>
      <x:c r="G68" s="163"/>
      <x:c r="H68" s="163"/>
      <x:c r="I68" s="163"/>
      <x:c r="J68" s="163"/>
      <x:c r="K68" s="163"/>
      <x:c r="L68" s="163"/>
      <x:c r="M68" s="163"/>
      <x:c r="N68" s="163"/>
      <x:c r="O68" s="163"/>
      <x:c r="P68" s="163"/>
      <x:c r="Q68" s="163"/>
      <x:c r="R68" s="163"/>
      <x:c r="S68" s="163"/>
      <x:c r="T68" s="163"/>
      <x:c r="U68" s="163"/>
      <x:c r="V68" s="163"/>
      <x:c r="W68" s="163"/>
      <x:c r="X68" s="163"/>
      <x:c r="Y68" s="163"/>
      <x:c r="Z68" s="163"/>
    </x:row>
    <x:row r="69" ht="15" hidden="0" customHeight="1">
      <x:c r="A69" s="163"/>
      <x:c r="B69" s="163"/>
      <x:c r="C69" s="163"/>
      <x:c r="D69" s="163"/>
      <x:c r="E69" s="163"/>
      <x:c r="F69" s="163"/>
      <x:c r="G69" s="163"/>
      <x:c r="H69" s="163"/>
      <x:c r="I69" s="163"/>
      <x:c r="J69" s="163"/>
      <x:c r="K69" s="163"/>
      <x:c r="L69" s="163"/>
      <x:c r="M69" s="163"/>
      <x:c r="N69" s="163"/>
      <x:c r="O69" s="163"/>
      <x:c r="P69" s="163"/>
      <x:c r="Q69" s="163"/>
      <x:c r="R69" s="163"/>
      <x:c r="S69" s="163"/>
      <x:c r="T69" s="163"/>
      <x:c r="U69" s="163"/>
      <x:c r="V69" s="163"/>
      <x:c r="W69" s="163"/>
      <x:c r="X69" s="163"/>
      <x:c r="Y69" s="163"/>
      <x:c r="Z69" s="163"/>
    </x:row>
    <x:row r="70" ht="15" hidden="0" customHeight="1">
      <x:c r="A70" s="163"/>
      <x:c r="B70" s="163"/>
      <x:c r="C70" s="163"/>
      <x:c r="D70" s="163"/>
      <x:c r="E70" s="163"/>
      <x:c r="F70" s="163"/>
      <x:c r="G70" s="163"/>
      <x:c r="H70" s="163"/>
      <x:c r="I70" s="163"/>
      <x:c r="J70" s="163"/>
      <x:c r="K70" s="163"/>
      <x:c r="L70" s="163"/>
      <x:c r="M70" s="163"/>
      <x:c r="N70" s="163"/>
      <x:c r="O70" s="163"/>
      <x:c r="P70" s="163"/>
      <x:c r="Q70" s="163"/>
      <x:c r="R70" s="163"/>
      <x:c r="S70" s="163"/>
      <x:c r="T70" s="163"/>
      <x:c r="U70" s="163"/>
      <x:c r="V70" s="163"/>
      <x:c r="W70" s="163"/>
      <x:c r="X70" s="163"/>
      <x:c r="Y70" s="163"/>
      <x:c r="Z70" s="163"/>
    </x:row>
    <x:row r="71" ht="15" hidden="0" customHeight="1">
      <x:c r="A71" s="163"/>
      <x:c r="B71" s="163"/>
      <x:c r="C71" s="163"/>
      <x:c r="D71" s="163"/>
      <x:c r="E71" s="163"/>
      <x:c r="F71" s="163"/>
      <x:c r="G71" s="163"/>
      <x:c r="H71" s="163"/>
      <x:c r="I71" s="163"/>
      <x:c r="J71" s="163"/>
      <x:c r="K71" s="163"/>
      <x:c r="L71" s="163"/>
      <x:c r="M71" s="163"/>
      <x:c r="N71" s="163"/>
      <x:c r="O71" s="163"/>
      <x:c r="P71" s="163"/>
      <x:c r="Q71" s="163"/>
      <x:c r="R71" s="163"/>
      <x:c r="S71" s="163"/>
      <x:c r="T71" s="163"/>
      <x:c r="U71" s="163"/>
      <x:c r="V71" s="163"/>
      <x:c r="W71" s="163"/>
      <x:c r="X71" s="163"/>
      <x:c r="Y71" s="163"/>
      <x:c r="Z71" s="163"/>
    </x:row>
    <x:row r="72" ht="15" hidden="0" customHeight="1">
      <x:c r="A72" s="163"/>
      <x:c r="B72" s="163"/>
      <x:c r="C72" s="163"/>
      <x:c r="D72" s="163"/>
      <x:c r="E72" s="163"/>
      <x:c r="F72" s="163"/>
      <x:c r="G72" s="163"/>
      <x:c r="H72" s="163"/>
      <x:c r="I72" s="163"/>
      <x:c r="J72" s="163"/>
      <x:c r="K72" s="163"/>
      <x:c r="L72" s="163"/>
      <x:c r="M72" s="163"/>
      <x:c r="N72" s="163"/>
      <x:c r="O72" s="163"/>
      <x:c r="P72" s="163"/>
      <x:c r="Q72" s="163"/>
      <x:c r="R72" s="163"/>
      <x:c r="S72" s="163"/>
      <x:c r="T72" s="163"/>
      <x:c r="U72" s="163"/>
      <x:c r="V72" s="163"/>
      <x:c r="W72" s="163"/>
      <x:c r="X72" s="163"/>
      <x:c r="Y72" s="163"/>
      <x:c r="Z72" s="163"/>
    </x:row>
    <x:row r="73" ht="15" hidden="0" customHeight="1">
      <x:c r="A73" s="163"/>
      <x:c r="B73" s="163"/>
      <x:c r="C73" s="163"/>
      <x:c r="D73" s="163"/>
      <x:c r="E73" s="163"/>
      <x:c r="F73" s="163"/>
      <x:c r="G73" s="163"/>
      <x:c r="H73" s="163"/>
      <x:c r="I73" s="163"/>
      <x:c r="J73" s="163"/>
      <x:c r="K73" s="163"/>
      <x:c r="L73" s="163"/>
      <x:c r="M73" s="163"/>
      <x:c r="N73" s="163"/>
      <x:c r="O73" s="163"/>
      <x:c r="P73" s="163"/>
      <x:c r="Q73" s="163"/>
      <x:c r="R73" s="163"/>
      <x:c r="S73" s="163"/>
      <x:c r="T73" s="163"/>
      <x:c r="U73" s="163"/>
      <x:c r="V73" s="163"/>
      <x:c r="W73" s="163"/>
      <x:c r="X73" s="163"/>
      <x:c r="Y73" s="163"/>
      <x:c r="Z73" s="163"/>
    </x:row>
    <x:row r="74" ht="15" hidden="0" customHeight="1">
      <x:c r="A74" s="163"/>
      <x:c r="B74" s="163"/>
      <x:c r="C74" s="163"/>
      <x:c r="D74" s="163"/>
      <x:c r="E74" s="163"/>
      <x:c r="F74" s="163"/>
      <x:c r="G74" s="163"/>
      <x:c r="H74" s="163"/>
      <x:c r="I74" s="163"/>
      <x:c r="J74" s="163"/>
      <x:c r="K74" s="163"/>
      <x:c r="L74" s="163"/>
      <x:c r="M74" s="163"/>
      <x:c r="N74" s="163"/>
      <x:c r="O74" s="163"/>
      <x:c r="P74" s="163"/>
      <x:c r="Q74" s="163"/>
      <x:c r="R74" s="163"/>
      <x:c r="S74" s="163"/>
      <x:c r="T74" s="163"/>
      <x:c r="U74" s="163"/>
      <x:c r="V74" s="163"/>
      <x:c r="W74" s="163"/>
      <x:c r="X74" s="163"/>
      <x:c r="Y74" s="163"/>
      <x:c r="Z74" s="163"/>
    </x:row>
    <x:row r="75" ht="15" hidden="0" customHeight="1">
      <x:c r="A75" s="163"/>
      <x:c r="B75" s="163"/>
      <x:c r="C75" s="163"/>
      <x:c r="D75" s="163"/>
      <x:c r="E75" s="163"/>
      <x:c r="F75" s="163"/>
      <x:c r="G75" s="163"/>
      <x:c r="H75" s="163"/>
      <x:c r="I75" s="163"/>
      <x:c r="J75" s="163"/>
      <x:c r="K75" s="163"/>
      <x:c r="L75" s="163"/>
      <x:c r="M75" s="163"/>
      <x:c r="N75" s="163"/>
      <x:c r="O75" s="163"/>
      <x:c r="P75" s="163"/>
      <x:c r="Q75" s="163"/>
      <x:c r="R75" s="163"/>
      <x:c r="S75" s="163"/>
      <x:c r="T75" s="163"/>
      <x:c r="U75" s="163"/>
      <x:c r="V75" s="163"/>
      <x:c r="W75" s="163"/>
      <x:c r="X75" s="163"/>
      <x:c r="Y75" s="163"/>
      <x:c r="Z75" s="163"/>
    </x:row>
    <x:row r="76" ht="15" hidden="0" customHeight="1">
      <x:c r="A76" s="163"/>
      <x:c r="B76" s="163"/>
      <x:c r="C76" s="163"/>
      <x:c r="D76" s="163"/>
      <x:c r="E76" s="163"/>
      <x:c r="F76" s="163"/>
      <x:c r="G76" s="163"/>
      <x:c r="H76" s="163"/>
      <x:c r="I76" s="163"/>
      <x:c r="J76" s="163"/>
      <x:c r="K76" s="163"/>
      <x:c r="L76" s="163"/>
      <x:c r="M76" s="163"/>
      <x:c r="N76" s="163"/>
      <x:c r="O76" s="163"/>
      <x:c r="P76" s="163"/>
      <x:c r="Q76" s="163"/>
      <x:c r="R76" s="163"/>
      <x:c r="S76" s="163"/>
      <x:c r="T76" s="163"/>
      <x:c r="U76" s="163"/>
      <x:c r="V76" s="163"/>
      <x:c r="W76" s="163"/>
      <x:c r="X76" s="163"/>
      <x:c r="Y76" s="163"/>
      <x:c r="Z76" s="163"/>
    </x:row>
    <x:row r="77" ht="15" hidden="0" customHeight="1">
      <x:c r="A77" s="163"/>
      <x:c r="B77" s="163"/>
      <x:c r="C77" s="163"/>
      <x:c r="D77" s="163"/>
      <x:c r="E77" s="163"/>
      <x:c r="F77" s="163"/>
      <x:c r="G77" s="163"/>
      <x:c r="H77" s="163"/>
      <x:c r="I77" s="163"/>
      <x:c r="J77" s="163"/>
      <x:c r="K77" s="163"/>
      <x:c r="L77" s="163"/>
      <x:c r="M77" s="163"/>
      <x:c r="N77" s="163"/>
      <x:c r="O77" s="163"/>
      <x:c r="P77" s="163"/>
      <x:c r="Q77" s="163"/>
      <x:c r="R77" s="163"/>
      <x:c r="S77" s="163"/>
      <x:c r="T77" s="163"/>
      <x:c r="U77" s="163"/>
      <x:c r="V77" s="163"/>
      <x:c r="W77" s="163"/>
      <x:c r="X77" s="163"/>
      <x:c r="Y77" s="163"/>
      <x:c r="Z77" s="163"/>
    </x:row>
    <x:row r="78" ht="15" hidden="0" customHeight="1">
      <x:c r="A78" s="163"/>
      <x:c r="B78" s="163"/>
      <x:c r="C78" s="163"/>
      <x:c r="D78" s="163"/>
      <x:c r="E78" s="163"/>
      <x:c r="F78" s="163"/>
      <x:c r="G78" s="163"/>
      <x:c r="H78" s="163"/>
      <x:c r="I78" s="163"/>
      <x:c r="J78" s="163"/>
      <x:c r="K78" s="163"/>
      <x:c r="L78" s="163"/>
      <x:c r="M78" s="163"/>
      <x:c r="N78" s="163"/>
      <x:c r="O78" s="163"/>
      <x:c r="P78" s="163"/>
      <x:c r="Q78" s="163"/>
      <x:c r="R78" s="163"/>
      <x:c r="S78" s="163"/>
      <x:c r="T78" s="163"/>
      <x:c r="U78" s="163"/>
      <x:c r="V78" s="163"/>
      <x:c r="W78" s="163"/>
      <x:c r="X78" s="163"/>
      <x:c r="Y78" s="163"/>
      <x:c r="Z78" s="163"/>
    </x:row>
    <x:row r="79" ht="15" hidden="0" customHeight="1">
      <x:c r="A79" s="163"/>
      <x:c r="B79" s="163"/>
      <x:c r="C79" s="163"/>
      <x:c r="D79" s="163"/>
      <x:c r="E79" s="163"/>
      <x:c r="F79" s="163"/>
      <x:c r="G79" s="163"/>
      <x:c r="H79" s="163"/>
      <x:c r="I79" s="163"/>
      <x:c r="J79" s="163"/>
      <x:c r="K79" s="163"/>
      <x:c r="L79" s="163"/>
      <x:c r="M79" s="163"/>
      <x:c r="N79" s="163"/>
      <x:c r="O79" s="163"/>
      <x:c r="P79" s="163"/>
      <x:c r="Q79" s="163"/>
      <x:c r="R79" s="163"/>
      <x:c r="S79" s="163"/>
      <x:c r="T79" s="163"/>
      <x:c r="U79" s="163"/>
      <x:c r="V79" s="163"/>
      <x:c r="W79" s="163"/>
      <x:c r="X79" s="163"/>
      <x:c r="Y79" s="163"/>
      <x:c r="Z79" s="163"/>
    </x:row>
    <x:row r="80" ht="15" hidden="0" customHeight="1">
      <x:c r="A80" s="163"/>
      <x:c r="B80" s="163"/>
      <x:c r="C80" s="163"/>
      <x:c r="D80" s="163"/>
      <x:c r="E80" s="163"/>
      <x:c r="F80" s="163"/>
      <x:c r="G80" s="163"/>
      <x:c r="H80" s="163"/>
      <x:c r="I80" s="163"/>
      <x:c r="J80" s="163"/>
      <x:c r="K80" s="163"/>
      <x:c r="L80" s="163"/>
      <x:c r="M80" s="163"/>
      <x:c r="N80" s="163"/>
      <x:c r="O80" s="163"/>
      <x:c r="P80" s="163"/>
      <x:c r="Q80" s="163"/>
      <x:c r="R80" s="163"/>
      <x:c r="S80" s="163"/>
      <x:c r="T80" s="163"/>
      <x:c r="U80" s="163"/>
      <x:c r="V80" s="163"/>
      <x:c r="W80" s="163"/>
      <x:c r="X80" s="163"/>
      <x:c r="Y80" s="163"/>
      <x:c r="Z80" s="163"/>
    </x:row>
    <x:row r="81" ht="15" hidden="0" customHeight="1">
      <x:c r="A81" s="163"/>
      <x:c r="B81" s="163"/>
      <x:c r="C81" s="163"/>
      <x:c r="D81" s="163"/>
      <x:c r="E81" s="163"/>
      <x:c r="F81" s="163"/>
      <x:c r="G81" s="163"/>
      <x:c r="H81" s="163"/>
      <x:c r="I81" s="163"/>
      <x:c r="J81" s="163"/>
      <x:c r="K81" s="163"/>
      <x:c r="L81" s="163"/>
      <x:c r="M81" s="163"/>
      <x:c r="N81" s="163"/>
      <x:c r="O81" s="163"/>
      <x:c r="P81" s="163"/>
      <x:c r="Q81" s="163"/>
      <x:c r="R81" s="163"/>
      <x:c r="S81" s="163"/>
      <x:c r="T81" s="163"/>
      <x:c r="U81" s="163"/>
      <x:c r="V81" s="163"/>
      <x:c r="W81" s="163"/>
      <x:c r="X81" s="163"/>
      <x:c r="Y81" s="163"/>
      <x:c r="Z81" s="163"/>
    </x:row>
    <x:row r="82" ht="15" hidden="0" customHeight="1">
      <x:c r="A82" s="163"/>
      <x:c r="B82" s="163"/>
      <x:c r="C82" s="163"/>
      <x:c r="D82" s="163"/>
      <x:c r="E82" s="163"/>
      <x:c r="F82" s="163"/>
      <x:c r="G82" s="163"/>
      <x:c r="H82" s="163"/>
      <x:c r="I82" s="163"/>
      <x:c r="J82" s="163"/>
      <x:c r="K82" s="163"/>
      <x:c r="L82" s="163"/>
      <x:c r="M82" s="163"/>
      <x:c r="N82" s="163"/>
      <x:c r="O82" s="163"/>
      <x:c r="P82" s="163"/>
      <x:c r="Q82" s="163"/>
      <x:c r="R82" s="163"/>
      <x:c r="S82" s="163"/>
      <x:c r="T82" s="163"/>
      <x:c r="U82" s="163"/>
      <x:c r="V82" s="163"/>
      <x:c r="W82" s="163"/>
      <x:c r="X82" s="163"/>
      <x:c r="Y82" s="163"/>
      <x:c r="Z82" s="163"/>
    </x:row>
    <x:row r="83" ht="15" hidden="0" customHeight="1">
      <x:c r="A83" s="163"/>
      <x:c r="B83" s="163"/>
      <x:c r="C83" s="163"/>
      <x:c r="D83" s="163"/>
      <x:c r="E83" s="163"/>
      <x:c r="F83" s="163"/>
      <x:c r="G83" s="163"/>
      <x:c r="H83" s="163"/>
      <x:c r="I83" s="163"/>
      <x:c r="J83" s="163"/>
      <x:c r="K83" s="163"/>
      <x:c r="L83" s="163"/>
      <x:c r="M83" s="163"/>
      <x:c r="N83" s="163"/>
      <x:c r="O83" s="163"/>
      <x:c r="P83" s="163"/>
      <x:c r="Q83" s="163"/>
      <x:c r="R83" s="163"/>
      <x:c r="S83" s="163"/>
      <x:c r="T83" s="163"/>
      <x:c r="U83" s="163"/>
      <x:c r="V83" s="163"/>
      <x:c r="W83" s="163"/>
      <x:c r="X83" s="163"/>
      <x:c r="Y83" s="163"/>
      <x:c r="Z83" s="163"/>
    </x:row>
    <x:row r="84" ht="15" hidden="0" customHeight="1">
      <x:c r="A84" s="163"/>
      <x:c r="B84" s="163"/>
      <x:c r="C84" s="163"/>
      <x:c r="D84" s="163"/>
      <x:c r="E84" s="163"/>
      <x:c r="F84" s="163"/>
      <x:c r="G84" s="163"/>
      <x:c r="H84" s="163"/>
      <x:c r="I84" s="163"/>
      <x:c r="J84" s="163"/>
      <x:c r="K84" s="163"/>
      <x:c r="L84" s="163"/>
      <x:c r="M84" s="163"/>
      <x:c r="N84" s="163"/>
      <x:c r="O84" s="163"/>
      <x:c r="P84" s="163"/>
      <x:c r="Q84" s="163"/>
      <x:c r="R84" s="163"/>
      <x:c r="S84" s="163"/>
      <x:c r="T84" s="163"/>
      <x:c r="U84" s="163"/>
      <x:c r="V84" s="163"/>
      <x:c r="W84" s="163"/>
      <x:c r="X84" s="163"/>
      <x:c r="Y84" s="163"/>
      <x:c r="Z84" s="163"/>
    </x:row>
    <x:row r="85" ht="15" hidden="0" customHeight="1">
      <x:c r="A85" s="163"/>
      <x:c r="B85" s="163"/>
      <x:c r="C85" s="163"/>
      <x:c r="D85" s="163"/>
      <x:c r="E85" s="163"/>
      <x:c r="F85" s="163"/>
      <x:c r="G85" s="163"/>
      <x:c r="H85" s="163"/>
      <x:c r="I85" s="163"/>
      <x:c r="J85" s="163"/>
      <x:c r="K85" s="163"/>
      <x:c r="L85" s="163"/>
      <x:c r="M85" s="163"/>
      <x:c r="N85" s="163"/>
      <x:c r="O85" s="163"/>
      <x:c r="P85" s="163"/>
      <x:c r="Q85" s="163"/>
      <x:c r="R85" s="163"/>
      <x:c r="S85" s="163"/>
      <x:c r="T85" s="163"/>
      <x:c r="U85" s="163"/>
      <x:c r="V85" s="163"/>
      <x:c r="W85" s="163"/>
      <x:c r="X85" s="163"/>
      <x:c r="Y85" s="163"/>
      <x:c r="Z85" s="163"/>
    </x:row>
    <x:row r="86" ht="15" hidden="0" customHeight="1">
      <x:c r="A86" s="163"/>
      <x:c r="B86" s="163"/>
      <x:c r="C86" s="163"/>
      <x:c r="D86" s="163"/>
      <x:c r="E86" s="163"/>
      <x:c r="F86" s="163"/>
      <x:c r="G86" s="163"/>
      <x:c r="H86" s="163"/>
      <x:c r="I86" s="163"/>
      <x:c r="J86" s="163"/>
      <x:c r="K86" s="163"/>
      <x:c r="L86" s="163"/>
      <x:c r="M86" s="163"/>
      <x:c r="N86" s="163"/>
      <x:c r="O86" s="163"/>
      <x:c r="P86" s="163"/>
      <x:c r="Q86" s="163"/>
      <x:c r="R86" s="163"/>
      <x:c r="S86" s="163"/>
      <x:c r="T86" s="163"/>
      <x:c r="U86" s="163"/>
      <x:c r="V86" s="163"/>
      <x:c r="W86" s="163"/>
      <x:c r="X86" s="163"/>
      <x:c r="Y86" s="163"/>
      <x:c r="Z86" s="163"/>
    </x:row>
    <x:row r="87" ht="15" hidden="0" customHeight="1">
      <x:c r="A87" s="163"/>
      <x:c r="B87" s="163"/>
      <x:c r="C87" s="163"/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63"/>
      <x:c r="S87" s="163"/>
      <x:c r="T87" s="163"/>
      <x:c r="U87" s="163"/>
      <x:c r="V87" s="163"/>
      <x:c r="W87" s="163"/>
      <x:c r="X87" s="163"/>
      <x:c r="Y87" s="163"/>
      <x:c r="Z87" s="163"/>
    </x:row>
    <x:row r="88" ht="15" hidden="0" customHeight="1">
      <x:c r="A88" s="163"/>
      <x:c r="B88" s="163"/>
      <x:c r="C88" s="163"/>
      <x:c r="D88" s="163"/>
      <x:c r="E88" s="163"/>
      <x:c r="F88" s="163"/>
      <x:c r="G88" s="163"/>
      <x:c r="H88" s="163"/>
      <x:c r="I88" s="163"/>
      <x:c r="J88" s="163"/>
      <x:c r="K88" s="163"/>
      <x:c r="L88" s="163"/>
      <x:c r="M88" s="163"/>
      <x:c r="N88" s="163"/>
      <x:c r="O88" s="163"/>
      <x:c r="P88" s="163"/>
      <x:c r="Q88" s="163"/>
      <x:c r="R88" s="163"/>
      <x:c r="S88" s="163"/>
      <x:c r="T88" s="163"/>
      <x:c r="U88" s="163"/>
      <x:c r="V88" s="163"/>
      <x:c r="W88" s="163"/>
      <x:c r="X88" s="163"/>
      <x:c r="Y88" s="163"/>
      <x:c r="Z88" s="163"/>
    </x:row>
    <x:row r="89" ht="15" hidden="0" customHeight="1">
      <x:c r="A89" s="163"/>
      <x:c r="B89" s="163"/>
      <x:c r="C89" s="163"/>
      <x:c r="D89" s="163"/>
      <x:c r="E89" s="163"/>
      <x:c r="F89" s="163"/>
      <x:c r="G89" s="163"/>
      <x:c r="H89" s="163"/>
      <x:c r="I89" s="163"/>
      <x:c r="J89" s="163"/>
      <x:c r="K89" s="163"/>
      <x:c r="L89" s="163"/>
      <x:c r="M89" s="163"/>
      <x:c r="N89" s="163"/>
      <x:c r="O89" s="163"/>
      <x:c r="P89" s="163"/>
      <x:c r="Q89" s="163"/>
      <x:c r="R89" s="163"/>
      <x:c r="S89" s="163"/>
      <x:c r="T89" s="163"/>
      <x:c r="U89" s="163"/>
      <x:c r="V89" s="163"/>
      <x:c r="W89" s="163"/>
      <x:c r="X89" s="163"/>
      <x:c r="Y89" s="163"/>
      <x:c r="Z89" s="163"/>
    </x:row>
    <x:row r="90" ht="15" hidden="0" customHeight="1">
      <x:c r="A90" s="163"/>
      <x:c r="B90" s="163"/>
      <x:c r="C90" s="163"/>
      <x:c r="D90" s="163"/>
      <x:c r="E90" s="163"/>
      <x:c r="F90" s="163"/>
      <x:c r="G90" s="163"/>
      <x:c r="H90" s="163"/>
      <x:c r="I90" s="163"/>
      <x:c r="J90" s="163"/>
      <x:c r="K90" s="163"/>
      <x:c r="L90" s="163"/>
      <x:c r="M90" s="163"/>
      <x:c r="N90" s="163"/>
      <x:c r="O90" s="163"/>
      <x:c r="P90" s="163"/>
      <x:c r="Q90" s="163"/>
      <x:c r="R90" s="163"/>
      <x:c r="S90" s="163"/>
      <x:c r="T90" s="163"/>
      <x:c r="U90" s="163"/>
      <x:c r="V90" s="163"/>
      <x:c r="W90" s="163"/>
      <x:c r="X90" s="163"/>
      <x:c r="Y90" s="163"/>
      <x:c r="Z90" s="163"/>
    </x:row>
    <x:row r="91" ht="15" hidden="0" customHeight="1">
      <x:c r="A91" s="163"/>
      <x:c r="B91" s="163"/>
      <x:c r="C91" s="163"/>
      <x:c r="D91" s="163"/>
      <x:c r="E91" s="163"/>
      <x:c r="F91" s="163"/>
      <x:c r="G91" s="163"/>
      <x:c r="H91" s="163"/>
      <x:c r="I91" s="163"/>
      <x:c r="J91" s="163"/>
      <x:c r="K91" s="163"/>
      <x:c r="L91" s="163"/>
      <x:c r="M91" s="163"/>
      <x:c r="N91" s="163"/>
      <x:c r="O91" s="163"/>
      <x:c r="P91" s="163"/>
      <x:c r="Q91" s="163"/>
      <x:c r="R91" s="163"/>
      <x:c r="S91" s="163"/>
      <x:c r="T91" s="163"/>
      <x:c r="U91" s="163"/>
      <x:c r="V91" s="163"/>
      <x:c r="W91" s="163"/>
      <x:c r="X91" s="163"/>
      <x:c r="Y91" s="163"/>
      <x:c r="Z91" s="163"/>
    </x:row>
    <x:row r="92" ht="15" hidden="0" customHeight="1">
      <x:c r="A92" s="163"/>
      <x:c r="B92" s="163"/>
      <x:c r="C92" s="163"/>
      <x:c r="D92" s="163"/>
      <x:c r="E92" s="163"/>
      <x:c r="F92" s="163"/>
      <x:c r="G92" s="163"/>
      <x:c r="H92" s="163"/>
      <x:c r="I92" s="163"/>
      <x:c r="J92" s="163"/>
      <x:c r="K92" s="163"/>
      <x:c r="L92" s="163"/>
      <x:c r="M92" s="163"/>
      <x:c r="N92" s="163"/>
      <x:c r="O92" s="163"/>
      <x:c r="P92" s="163"/>
      <x:c r="Q92" s="163"/>
      <x:c r="R92" s="163"/>
      <x:c r="S92" s="163"/>
      <x:c r="T92" s="163"/>
      <x:c r="U92" s="163"/>
      <x:c r="V92" s="163"/>
      <x:c r="W92" s="163"/>
      <x:c r="X92" s="163"/>
      <x:c r="Y92" s="163"/>
      <x:c r="Z92" s="163"/>
    </x:row>
    <x:row r="93" ht="15" hidden="0" customHeight="1">
      <x:c r="A93" s="163"/>
      <x:c r="B93" s="163"/>
      <x:c r="C93" s="163"/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63"/>
      <x:c r="S93" s="163"/>
      <x:c r="T93" s="163"/>
      <x:c r="U93" s="163"/>
      <x:c r="V93" s="163"/>
      <x:c r="W93" s="163"/>
      <x:c r="X93" s="163"/>
      <x:c r="Y93" s="163"/>
      <x:c r="Z93" s="163"/>
    </x:row>
    <x:row r="94" ht="15" hidden="0" customHeight="1">
      <x:c r="A94" s="163"/>
      <x:c r="B94" s="163"/>
      <x:c r="C94" s="163"/>
      <x:c r="D94" s="163"/>
      <x:c r="E94" s="163"/>
      <x:c r="F94" s="163"/>
      <x:c r="G94" s="163"/>
      <x:c r="H94" s="163"/>
      <x:c r="I94" s="163"/>
      <x:c r="J94" s="163"/>
      <x:c r="K94" s="163"/>
      <x:c r="L94" s="163"/>
      <x:c r="M94" s="163"/>
      <x:c r="N94" s="163"/>
      <x:c r="O94" s="163"/>
      <x:c r="P94" s="163"/>
      <x:c r="Q94" s="163"/>
      <x:c r="R94" s="163"/>
      <x:c r="S94" s="163"/>
      <x:c r="T94" s="163"/>
      <x:c r="U94" s="163"/>
      <x:c r="V94" s="163"/>
      <x:c r="W94" s="163"/>
      <x:c r="X94" s="163"/>
      <x:c r="Y94" s="163"/>
      <x:c r="Z94" s="163"/>
    </x:row>
    <x:row r="95" ht="15" hidden="0" customHeight="1">
      <x:c r="A95" s="163"/>
      <x:c r="B95" s="163"/>
      <x:c r="C95" s="163"/>
      <x:c r="D95" s="163"/>
      <x:c r="E95" s="163"/>
      <x:c r="F95" s="163"/>
      <x:c r="G95" s="163"/>
      <x:c r="H95" s="163"/>
      <x:c r="I95" s="163"/>
      <x:c r="J95" s="163"/>
      <x:c r="K95" s="163"/>
      <x:c r="L95" s="163"/>
      <x:c r="M95" s="163"/>
      <x:c r="N95" s="163"/>
      <x:c r="O95" s="163"/>
      <x:c r="P95" s="163"/>
      <x:c r="Q95" s="163"/>
      <x:c r="R95" s="163"/>
      <x:c r="S95" s="163"/>
      <x:c r="T95" s="163"/>
      <x:c r="U95" s="163"/>
      <x:c r="V95" s="163"/>
      <x:c r="W95" s="163"/>
      <x:c r="X95" s="163"/>
      <x:c r="Y95" s="163"/>
      <x:c r="Z95" s="163"/>
    </x:row>
    <x:row r="96" ht="15" hidden="0" customHeight="1">
      <x:c r="A96" s="163"/>
      <x:c r="B96" s="163"/>
      <x:c r="C96" s="163"/>
      <x:c r="D96" s="163"/>
      <x:c r="E96" s="163"/>
      <x:c r="F96" s="163"/>
      <x:c r="G96" s="163"/>
      <x:c r="H96" s="163"/>
      <x:c r="I96" s="163"/>
      <x:c r="J96" s="163"/>
      <x:c r="K96" s="163"/>
      <x:c r="L96" s="163"/>
      <x:c r="M96" s="163"/>
      <x:c r="N96" s="163"/>
      <x:c r="O96" s="163"/>
      <x:c r="P96" s="163"/>
      <x:c r="Q96" s="163"/>
      <x:c r="R96" s="163"/>
      <x:c r="S96" s="163"/>
      <x:c r="T96" s="163"/>
      <x:c r="U96" s="163"/>
      <x:c r="V96" s="163"/>
      <x:c r="W96" s="163"/>
      <x:c r="X96" s="163"/>
      <x:c r="Y96" s="163"/>
      <x:c r="Z96" s="163"/>
    </x:row>
    <x:row r="97" ht="15" hidden="0" customHeight="1">
      <x:c r="A97" s="163"/>
      <x:c r="B97" s="163"/>
      <x:c r="C97" s="163"/>
      <x:c r="D97" s="163"/>
      <x:c r="E97" s="163"/>
      <x:c r="F97" s="163"/>
      <x:c r="G97" s="163"/>
      <x:c r="H97" s="163"/>
      <x:c r="I97" s="163"/>
      <x:c r="J97" s="163"/>
      <x:c r="K97" s="163"/>
      <x:c r="L97" s="163"/>
      <x:c r="M97" s="163"/>
      <x:c r="N97" s="163"/>
      <x:c r="O97" s="163"/>
      <x:c r="P97" s="163"/>
      <x:c r="Q97" s="163"/>
      <x:c r="R97" s="163"/>
      <x:c r="S97" s="163"/>
      <x:c r="T97" s="163"/>
      <x:c r="U97" s="163"/>
      <x:c r="V97" s="163"/>
      <x:c r="W97" s="163"/>
      <x:c r="X97" s="163"/>
      <x:c r="Y97" s="163"/>
      <x:c r="Z97" s="163"/>
    </x:row>
    <x:row r="98" ht="15" hidden="0" customHeight="1">
      <x:c r="A98" s="163"/>
      <x:c r="B98" s="163"/>
      <x:c r="C98" s="163"/>
      <x:c r="D98" s="163"/>
      <x:c r="E98" s="163"/>
      <x:c r="F98" s="163"/>
      <x:c r="G98" s="163"/>
      <x:c r="H98" s="163"/>
      <x:c r="I98" s="163"/>
      <x:c r="J98" s="163"/>
      <x:c r="K98" s="163"/>
      <x:c r="L98" s="163"/>
      <x:c r="M98" s="163"/>
      <x:c r="N98" s="163"/>
      <x:c r="O98" s="163"/>
      <x:c r="P98" s="163"/>
      <x:c r="Q98" s="163"/>
      <x:c r="R98" s="163"/>
      <x:c r="S98" s="163"/>
      <x:c r="T98" s="163"/>
      <x:c r="U98" s="163"/>
      <x:c r="V98" s="163"/>
      <x:c r="W98" s="163"/>
      <x:c r="X98" s="163"/>
      <x:c r="Y98" s="163"/>
      <x:c r="Z98" s="163"/>
    </x:row>
    <x:row r="99" ht="15" hidden="0" customHeight="1">
      <x:c r="A99" s="163"/>
      <x:c r="B99" s="163"/>
      <x:c r="C99" s="163"/>
      <x:c r="D99" s="163"/>
      <x:c r="E99" s="163"/>
      <x:c r="F99" s="163"/>
      <x:c r="G99" s="163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63"/>
      <x:c r="S99" s="163"/>
      <x:c r="T99" s="163"/>
      <x:c r="U99" s="163"/>
      <x:c r="V99" s="163"/>
      <x:c r="W99" s="163"/>
      <x:c r="X99" s="163"/>
      <x:c r="Y99" s="163"/>
      <x:c r="Z99" s="163"/>
    </x:row>
    <x:row r="100" ht="15" hidden="0" customHeight="1">
      <x:c r="A100" s="163"/>
      <x:c r="B100" s="163"/>
      <x:c r="C100" s="163"/>
      <x:c r="D100" s="163"/>
      <x:c r="E100" s="163"/>
      <x:c r="F100" s="163"/>
      <x:c r="G100" s="163"/>
      <x:c r="H100" s="163"/>
      <x:c r="I100" s="163"/>
      <x:c r="J100" s="163"/>
      <x:c r="K100" s="163"/>
      <x:c r="L100" s="163"/>
      <x:c r="M100" s="163"/>
      <x:c r="N100" s="163"/>
      <x:c r="O100" s="163"/>
      <x:c r="P100" s="163"/>
      <x:c r="Q100" s="163"/>
      <x:c r="R100" s="163"/>
      <x:c r="S100" s="163"/>
      <x:c r="T100" s="163"/>
      <x:c r="U100" s="163"/>
      <x:c r="V100" s="163"/>
      <x:c r="W100" s="163"/>
      <x:c r="X100" s="163"/>
      <x:c r="Y100" s="163"/>
      <x:c r="Z100" s="163"/>
    </x:row>
  </x:sheetData>
  <x:mergeCells>
    <x:mergeCell ref="A1:H1"/>
    <x:mergeCell ref="A2:H2"/>
    <x:mergeCell ref="A4:H4"/>
    <x:mergeCell ref="A12:H12"/>
    <x:mergeCell ref="A25:H25"/>
  </x:mergeCells>
  <x:pageMargins left="0.7" right="0.7" top="0.75" bottom="0.75" header="0.3" footer="0.3"/>
  <x:drawing xmlns:r="http://schemas.openxmlformats.org/officeDocument/2006/relationships" r:id="R827a9e97c4ee400f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0" hidden="0" customWidth="1"/>
  </x:cols>
  <x:sheetData>
    <x:row r="1" ht="16.799999237060547" hidden="0" customHeight="1">
      <x:c r="A1" s="226" t="str">
        <x:v>Merger Consequences — Funding, Synergy &amp; Accretion Sensitivity</x:v>
      </x:c>
      <x:c r="B1" s="226"/>
      <x:c r="C1" s="226"/>
      <x:c r="D1" s="226"/>
      <x:c r="E1" s="226"/>
      <x:c r="F1" s="226"/>
      <x:c r="G1" s="226"/>
      <x:c r="H1" s="226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 ht="15" hidden="0" customHeight="1">
      <x:c r="A2" s="164" t="str">
        <x:v>Illustrative mechanics only. Baker Hughes did not disclose every purchase-accounting / financing input required for an exact accretion model; sensitivities are explicitly analyst-created.</x:v>
      </x:c>
      <x:c r="B2" s="164"/>
      <x:c r="C2" s="164"/>
      <x:c r="D2" s="164"/>
      <x:c r="E2" s="164"/>
      <x:c r="F2" s="164"/>
      <x:c r="G2" s="164"/>
      <x:c r="H2" s="164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 ht="15" hidden="0" customHeight="1">
      <x:c r="A3" s="165"/>
      <x:c r="B3" s="165"/>
      <x:c r="C3" s="165"/>
      <x:c r="D3" s="165"/>
      <x:c r="E3" s="165"/>
      <x:c r="F3" s="165"/>
      <x:c r="G3" s="165"/>
      <x:c r="H3" s="165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 ht="15" hidden="0" customHeight="1">
      <x:c r="A4" s="101" t="str">
        <x:v>ANNOUNCED FUNDING / CAPITAL STRUCTURE FACTS</x:v>
      </x:c>
      <x:c r="B4" s="101"/>
      <x:c r="C4" s="101"/>
      <x:c r="D4" s="101"/>
      <x:c r="E4" s="165"/>
      <x:c r="F4" s="165"/>
      <x:c r="G4" s="165"/>
      <x:c r="H4" s="165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 ht="15" hidden="0" customHeight="1">
      <x:c r="A5" s="165" t="str">
        <x:v>Transaction enterprise value</x:v>
      </x:c>
      <x:c r="B5" s="228" t="n">
        <x:f>'Model Inputs'!B7</x:f>
        <x:v>13600</x:v>
      </x:c>
      <x:c r="C5" s="165" t="str">
        <x:v>$mm</x:v>
      </x:c>
      <x:c r="D5" s="165" t="str">
        <x:v>S2/S6</x:v>
      </x:c>
      <x:c r="E5" s="165"/>
      <x:c r="F5" s="165"/>
      <x:c r="G5" s="165"/>
      <x:c r="H5" s="165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 ht="15" hidden="0" customHeight="1">
      <x:c r="A6" s="165" t="str">
        <x:v>Approx. equity purchase price</x:v>
      </x:c>
      <x:c r="B6" s="228" t="n">
        <x:f>'Model Inputs'!B6</x:f>
        <x:v>10100</x:v>
      </x:c>
      <x:c r="C6" s="165" t="str">
        <x:v>$mm</x:v>
      </x:c>
      <x:c r="D6" s="165" t="str">
        <x:v>S3</x:v>
      </x:c>
      <x:c r="E6" s="165"/>
      <x:c r="F6" s="165"/>
      <x:c r="G6" s="165"/>
      <x:c r="H6" s="165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 ht="15" hidden="0" customHeight="1">
      <x:c r="A7" s="165" t="str">
        <x:v>Approx. target net debt / other EV bridge</x:v>
      </x:c>
      <x:c r="B7" s="228" t="n">
        <x:f>'Model Inputs'!B40</x:f>
        <x:v>3500</x:v>
      </x:c>
      <x:c r="C7" s="165" t="str">
        <x:v>$mm</x:v>
      </x:c>
      <x:c r="D7" s="165" t="str">
        <x:v>Derived</x:v>
      </x:c>
      <x:c r="E7" s="165"/>
      <x:c r="F7" s="165"/>
      <x:c r="G7" s="165"/>
      <x:c r="H7" s="165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 ht="15" hidden="0" customHeight="1">
      <x:c r="A8" s="165" t="str">
        <x:v>2026 USD notes offering</x:v>
      </x:c>
      <x:c r="B8" s="238" t="n">
        <x:v>6500</x:v>
      </x:c>
      <x:c r="C8" s="165" t="str">
        <x:v>$mm</x:v>
      </x:c>
      <x:c r="D8" s="165" t="str">
        <x:v>S6</x:v>
      </x:c>
      <x:c r="E8" s="165"/>
      <x:c r="F8" s="165"/>
      <x:c r="G8" s="165"/>
      <x:c r="H8" s="165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 ht="15" hidden="0" customHeight="1">
      <x:c r="A9" s="165" t="str">
        <x:v>2026 EUR notes offering</x:v>
      </x:c>
      <x:c r="B9" s="238" t="n">
        <x:v>3000</x:v>
      </x:c>
      <x:c r="C9" s="165" t="str">
        <x:v>€mm</x:v>
      </x:c>
      <x:c r="D9" s="165" t="str">
        <x:v>S6</x:v>
      </x:c>
      <x:c r="E9" s="165"/>
      <x:c r="F9" s="165"/>
      <x:c r="G9" s="165"/>
      <x:c r="H9" s="165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 ht="15" hidden="0" customHeight="1">
      <x:c r="A10" s="165" t="str">
        <x:v>Two 2-year term loans</x:v>
      </x:c>
      <x:c r="B10" s="238" t="n">
        <x:v>2000</x:v>
      </x:c>
      <x:c r="C10" s="165" t="str">
        <x:v>$mm</x:v>
      </x:c>
      <x:c r="D10" s="165" t="str">
        <x:v>S6</x:v>
      </x:c>
      <x:c r="E10" s="165"/>
      <x:c r="F10" s="165"/>
      <x:c r="G10" s="165"/>
      <x:c r="H10" s="165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 ht="15" hidden="0" customHeight="1">
      <x:c r="A11" s="165" t="str">
        <x:v>Other source</x:v>
      </x:c>
      <x:c r="B11" s="239" t="str">
        <x:v>Cash on hand</x:v>
      </x:c>
      <x:c r="C11" s="165" t="str"/>
      <x:c r="D11" s="165" t="str">
        <x:v>S6</x:v>
      </x:c>
      <x:c r="E11" s="165"/>
      <x:c r="F11" s="165"/>
      <x:c r="G11" s="165"/>
      <x:c r="H11" s="165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 ht="15" hidden="0" customHeight="1">
      <x:c r="A12" s="165"/>
      <x:c r="B12" s="165"/>
      <x:c r="C12" s="165"/>
      <x:c r="D12" s="165"/>
      <x:c r="E12" s="165"/>
      <x:c r="F12" s="165"/>
      <x:c r="G12" s="165"/>
      <x:c r="H12" s="165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 ht="15" hidden="0" customHeight="1">
      <x:c r="A13" s="101" t="str">
        <x:v>EPS ACCRETION SENSITIVITY — SIMPLIFIED / PRE-PURCHASE-ACCOUNTING</x:v>
      </x:c>
      <x:c r="B13" s="101"/>
      <x:c r="C13" s="101"/>
      <x:c r="D13" s="101"/>
      <x:c r="E13" s="101"/>
      <x:c r="F13" s="101"/>
      <x:c r="G13" s="101"/>
      <x:c r="H13" s="101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 ht="15" hidden="0" customHeight="1">
      <x:c r="A14" s="6" t="str">
        <x:v>Input / Output</x:v>
      </x:c>
      <x:c r="B14" s="6" t="str">
        <x:v>Base / value</x:v>
      </x:c>
      <x:c r="C14" s="6" t="str">
        <x:v>4.5% debt cost</x:v>
      </x:c>
      <x:c r="D14" s="6" t="str">
        <x:v>5.0% debt cost</x:v>
      </x:c>
      <x:c r="E14" s="6" t="str">
        <x:v>5.5% debt cost</x:v>
      </x:c>
      <x:c r="F14" s="6" t="str">
        <x:v>6.0% debt cost</x:v>
      </x:c>
      <x:c r="G14" s="6" t="str">
        <x:v>6.5% debt cost</x:v>
      </x:c>
      <x:c r="H14" s="6" t="str">
        <x:v>Notes</x:v>
      </x:c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 ht="15" hidden="0" customHeight="1">
      <x:c r="A15" s="165" t="str">
        <x:v>BKR 2025 net income</x:v>
      </x:c>
      <x:c r="B15" s="238" t="n">
        <x:v>2588</x:v>
      </x:c>
      <x:c r="C15" s="240" t="n">
        <x:v>0.045</x:v>
      </x:c>
      <x:c r="D15" s="240" t="n">
        <x:v>0.05</x:v>
      </x:c>
      <x:c r="E15" s="240" t="n">
        <x:v>0.055</x:v>
      </x:c>
      <x:c r="F15" s="240" t="n">
        <x:v>0.06</x:v>
      </x:c>
      <x:c r="G15" s="240" t="n">
        <x:v>0.065</x:v>
      </x:c>
      <x:c r="H15" s="165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 ht="15" hidden="0" customHeight="1">
      <x:c r="A16" s="165" t="str">
        <x:v>BKR 2025 diluted shares</x:v>
      </x:c>
      <x:c r="B16" s="238" t="n">
        <x:v>994</x:v>
      </x:c>
      <x:c r="C16" s="165"/>
      <x:c r="D16" s="165"/>
      <x:c r="E16" s="165"/>
      <x:c r="F16" s="165"/>
      <x:c r="G16" s="165"/>
      <x:c r="H16" s="165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 ht="15" hidden="0" customHeight="1">
      <x:c r="A17" s="165" t="str">
        <x:v>BKR baseline EPS</x:v>
      </x:c>
      <x:c r="B17" s="168" t="n">
        <x:f>B15/B16</x:f>
        <x:v>2.6036217303822937</x:v>
      </x:c>
      <x:c r="C17" s="165"/>
      <x:c r="D17" s="165"/>
      <x:c r="E17" s="165"/>
      <x:c r="F17" s="165"/>
      <x:c r="G17" s="165"/>
      <x:c r="H17" s="165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5" hidden="0" customHeight="1">
      <x:c r="A18" s="165" t="str">
        <x:v>Chart 2024 net income</x:v>
      </x:c>
      <x:c r="B18" s="241" t="n">
        <x:v>232.8</x:v>
      </x:c>
      <x:c r="C18" s="165"/>
      <x:c r="D18" s="165"/>
      <x:c r="E18" s="165"/>
      <x:c r="F18" s="165"/>
      <x:c r="G18" s="165"/>
      <x:c r="H18" s="165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 ht="15" hidden="0" customHeight="1">
      <x:c r="A19" s="165" t="str">
        <x:v>Annual cost synergies</x:v>
      </x:c>
      <x:c r="B19" s="228" t="n">
        <x:f>'Model Inputs'!B9</x:f>
        <x:v>325</x:v>
      </x:c>
      <x:c r="C19" s="165"/>
      <x:c r="D19" s="165"/>
      <x:c r="E19" s="165"/>
      <x:c r="F19" s="165"/>
      <x:c r="G19" s="165"/>
      <x:c r="H19" s="165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 ht="15" hidden="0" customHeight="1">
      <x:c r="A20" s="165" t="str">
        <x:v>Tax rate</x:v>
      </x:c>
      <x:c r="B20" s="230" t="n">
        <x:f>'Model Inputs'!B37</x:f>
        <x:v>0.2467817896389325</x:v>
      </x:c>
      <x:c r="C20" s="165"/>
      <x:c r="D20" s="165"/>
      <x:c r="E20" s="165"/>
      <x:c r="F20" s="165"/>
      <x:c r="G20" s="165"/>
      <x:c r="H20" s="165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 ht="15" hidden="0" customHeight="1">
      <x:c r="A21" s="165" t="str">
        <x:v>Illustrative incremental debt used</x:v>
      </x:c>
      <x:c r="B21" s="242" t="n">
        <x:v>10000</x:v>
      </x:c>
      <x:c r="C21" s="165"/>
      <x:c r="D21" s="165"/>
      <x:c r="E21" s="165"/>
      <x:c r="F21" s="165"/>
      <x:c r="G21" s="165"/>
      <x:c r="H21" s="165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 ht="15" hidden="0" customHeight="1">
      <x:c r="A22" s="165"/>
      <x:c r="B22" s="165"/>
      <x:c r="C22" s="165"/>
      <x:c r="D22" s="165"/>
      <x:c r="E22" s="165"/>
      <x:c r="F22" s="165"/>
      <x:c r="G22" s="165"/>
      <x:c r="H22" s="165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 ht="21.600000381469727" hidden="0" customHeight="1">
      <x:c r="A23" s="165" t="str">
        <x:v>Pre-tax interest on incremental debt</x:v>
      </x:c>
      <x:c r="B23" s="165"/>
      <x:c r="C23" s="228" t="n">
        <x:f>$B$21*C$15</x:f>
        <x:v>450</x:v>
      </x:c>
      <x:c r="D23" s="228" t="n">
        <x:f>$B$21*D$15</x:f>
        <x:v>500</x:v>
      </x:c>
      <x:c r="E23" s="228" t="n">
        <x:f>$B$21*E$15</x:f>
        <x:v>550</x:v>
      </x:c>
      <x:c r="F23" s="228" t="n">
        <x:f>$B$21*F$15</x:f>
        <x:v>600</x:v>
      </x:c>
      <x:c r="G23" s="228" t="n">
        <x:f>$B$21*G$15</x:f>
        <x:v>650</x:v>
      </x:c>
      <x:c r="H23" s="243" t="str">
        <x:v>Debt cost sensitivity × analyst-created incremental debt assumption</x:v>
      </x:c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 ht="15" hidden="0" customHeight="1">
      <x:c r="A24" s="165" t="str">
        <x:v>After-tax interest</x:v>
      </x:c>
      <x:c r="B24" s="165"/>
      <x:c r="C24" s="228" t="n">
        <x:f>C23*(1-$B$20)</x:f>
        <x:v>338.9481946624804</x:v>
      </x:c>
      <x:c r="D24" s="228" t="n">
        <x:f>D23*(1-$B$20)</x:f>
        <x:v>376.60910518053373</x:v>
      </x:c>
      <x:c r="E24" s="228" t="n">
        <x:f>E23*(1-$B$20)</x:f>
        <x:v>414.27001569858714</x:v>
      </x:c>
      <x:c r="F24" s="228" t="n">
        <x:f>F23*(1-$B$20)</x:f>
        <x:v>451.9309262166405</x:v>
      </x:c>
      <x:c r="G24" s="228" t="n">
        <x:f>G23*(1-$B$20)</x:f>
        <x:v>489.59183673469386</x:v>
      </x:c>
      <x:c r="H24" s="243" t="str">
        <x:v>Interest expense × (1 - tax rate)</x:v>
      </x:c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 ht="15" hidden="0" customHeight="1">
      <x:c r="A25" s="165" t="str">
        <x:v>After-tax synergies</x:v>
      </x:c>
      <x:c r="B25" s="165"/>
      <x:c r="C25" s="228" t="n">
        <x:f>$B$19*(1-$B$20)</x:f>
        <x:v>244.79591836734693</x:v>
      </x:c>
      <x:c r="D25" s="228" t="n">
        <x:f>$B$19*(1-$B$20)</x:f>
        <x:v>244.79591836734693</x:v>
      </x:c>
      <x:c r="E25" s="228" t="n">
        <x:f>$B$19*(1-$B$20)</x:f>
        <x:v>244.79591836734693</x:v>
      </x:c>
      <x:c r="F25" s="228" t="n">
        <x:f>$B$19*(1-$B$20)</x:f>
        <x:v>244.79591836734693</x:v>
      </x:c>
      <x:c r="G25" s="228" t="n">
        <x:f>$B$19*(1-$B$20)</x:f>
        <x:v>244.79591836734693</x:v>
      </x:c>
      <x:c r="H25" s="243" t="str">
        <x:v>$325m announced cost synergies after tax</x:v>
      </x:c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 ht="21.600000381469727" hidden="0" customHeight="1">
      <x:c r="A26" s="165" t="str">
        <x:v>Incremental NI before purchase accounting</x:v>
      </x:c>
      <x:c r="B26" s="165"/>
      <x:c r="C26" s="228" t="n">
        <x:f>$B$18+C25-C24</x:f>
        <x:v>138.64772370486656</x:v>
      </x:c>
      <x:c r="D26" s="228" t="n">
        <x:f>$B$18+D25-D24</x:f>
        <x:v>100.98681318681321</x:v>
      </x:c>
      <x:c r="E26" s="228" t="n">
        <x:f>$B$18+E25-E24</x:f>
        <x:v>63.325902668759795</x:v>
      </x:c>
      <x:c r="F26" s="228" t="n">
        <x:f>$B$18+F25-F24</x:f>
        <x:v>25.66499215070644</x:v>
      </x:c>
      <x:c r="G26" s="228" t="n">
        <x:f>$B$18+G25-G24</x:f>
        <x:v>-11.995918367346917</x:v>
      </x:c>
      <x:c r="H26" s="243" t="str">
        <x:v>Uses 2024 Chart reported NI as simple standalone earnings proxy</x:v>
      </x:c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 ht="15" hidden="0" customHeight="1">
      <x:c r="A27" s="165" t="str">
        <x:v>Pro forma EPS</x:v>
      </x:c>
      <x:c r="B27" s="165"/>
      <x:c r="C27" s="168" t="n">
        <x:f>($B$15+C26)/$B$16</x:f>
        <x:v>2.7431063618761233</x:v>
      </x:c>
      <x:c r="D27" s="168" t="n">
        <x:f>($B$15+D26)/$B$16</x:f>
        <x:v>2.7052181219183233</x:v>
      </x:c>
      <x:c r="E27" s="168" t="n">
        <x:f>($B$15+E26)/$B$16</x:f>
        <x:v>2.667329881960523</x:v>
      </x:c>
      <x:c r="F27" s="168" t="n">
        <x:f>($B$15+F26)/$B$16</x:f>
        <x:v>2.629441642002723</x:v>
      </x:c>
      <x:c r="G27" s="168" t="n">
        <x:f>($B$15+G26)/$B$16</x:f>
        <x:v>2.591553402044923</x:v>
      </x:c>
      <x:c r="H27" s="243" t="str">
        <x:v>No new shares assumed in all-cash transaction</x:v>
      </x:c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 ht="21.600000381469727" hidden="0" customHeight="1">
      <x:c r="A28" s="165" t="str">
        <x:v>EPS accretion / (dilution)</x:v>
      </x:c>
      <x:c r="B28" s="165"/>
      <x:c r="C28" s="230" t="n">
        <x:f>C27/$B$17-1</x:f>
        <x:v>0.0535733090049717</x:v>
      </x:c>
      <x:c r="D28" s="230" t="n">
        <x:f>D27/$B$17-1</x:f>
        <x:v>0.039021179747609436</x:v>
      </x:c>
      <x:c r="E28" s="230" t="n">
        <x:f>E27/$B$17-1</x:f>
        <x:v>0.02446905049024717</x:v>
      </x:c>
      <x:c r="F28" s="230" t="n">
        <x:f>F27/$B$17-1</x:f>
        <x:v>0.009916921232885123</x:v>
      </x:c>
      <x:c r="G28" s="230" t="n">
        <x:f>G27/$B$17-1</x:f>
        <x:v>-0.004635208024477033</x:v>
      </x:c>
      <x:c r="H28" s="243" t="str">
        <x:v>Does not include purchase accounting / one-time costs / commercial synergies</x:v>
      </x:c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 ht="15" hidden="0" customHeight="1">
      <x:c r="A29" s="165" t="str">
        <x:v>Break-even synergy needed for 0% EPS accretion</x:v>
      </x:c>
      <x:c r="B29" s="165"/>
      <x:c r="C29" s="228" t="n">
        <x:f>MAX(0,(C24-$B$18)/(1-$B$20))</x:f>
        <x:v>140.92621925802416</x:v>
      </x:c>
      <x:c r="D29" s="228" t="n">
        <x:f>MAX(0,(D24-$B$18)/(1-$B$20))</x:f>
        <x:v>190.92621925802413</x:v>
      </x:c>
      <x:c r="E29" s="228" t="n">
        <x:f>MAX(0,(E24-$B$18)/(1-$B$20))</x:f>
        <x:v>240.9262192580242</x:v>
      </x:c>
      <x:c r="F29" s="228" t="n">
        <x:f>MAX(0,(F24-$B$18)/(1-$B$20))</x:f>
        <x:v>290.92621925802416</x:v>
      </x:c>
      <x:c r="G29" s="228" t="n">
        <x:f>MAX(0,(G24-$B$18)/(1-$B$20))</x:f>
        <x:v>340.9262192580241</x:v>
      </x:c>
      <x:c r="H29" s="243" t="str">
        <x:v>Useful threshold check, not company guidance</x:v>
      </x:c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 ht="15" hidden="0" customHeight="1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 ht="15" hidden="0" customHeight="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 ht="15" hidden="0" customHeight="1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 ht="15" hidden="0" customHeight="1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 ht="15" hidden="0" customHeight="1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 ht="15" hidden="0" customHeight="1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 ht="15" hidden="0" customHeight="1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 ht="15" hidden="0" customHeight="1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 ht="15" hidden="0" customHeight="1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 ht="15" hidden="0" customHeight="1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 ht="15" hidden="0" customHeight="1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 ht="15" hidden="0" customHeight="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 ht="15" hidden="0" customHeight="1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 ht="15" hidden="0" customHeight="1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 ht="15" hidden="0" customHeight="1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 ht="15" hidden="0" customHeight="1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 ht="15" hidden="0" customHeight="1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 ht="15" hidden="0" customHeight="1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 ht="15" hidden="0" customHeight="1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 ht="15" hidden="0" customHeight="1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 ht="15" hidden="0" customHeight="1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 ht="15" hidden="0" customHeight="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 ht="15" hidden="0" customHeight="1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 ht="15" hidden="0" customHeight="1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 ht="15" hidden="0" customHeight="1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 ht="15" hidden="0" customHeight="1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 ht="15" hidden="0" customHeight="1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 ht="15" hidden="0" customHeight="1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 ht="15" hidden="0" customHeight="1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 ht="15" hidden="0" customHeight="1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 ht="15" hidden="0" customHeight="1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  <x:row r="61" ht="15" hidden="0" customHeight="1">
      <x:c r="A61" s="163"/>
      <x:c r="B61" s="163"/>
      <x:c r="C61" s="163"/>
      <x:c r="D61" s="163"/>
      <x:c r="E61" s="163"/>
      <x:c r="F61" s="163"/>
      <x:c r="G61" s="163"/>
      <x:c r="H61" s="163"/>
      <x:c r="I61" s="163"/>
      <x:c r="J61" s="163"/>
      <x:c r="K61" s="163"/>
      <x:c r="L61" s="163"/>
      <x:c r="M61" s="163"/>
      <x:c r="N61" s="163"/>
      <x:c r="O61" s="163"/>
      <x:c r="P61" s="163"/>
      <x:c r="Q61" s="163"/>
      <x:c r="R61" s="163"/>
      <x:c r="S61" s="163"/>
      <x:c r="T61" s="163"/>
      <x:c r="U61" s="163"/>
      <x:c r="V61" s="163"/>
      <x:c r="W61" s="163"/>
      <x:c r="X61" s="163"/>
      <x:c r="Y61" s="163"/>
      <x:c r="Z61" s="163"/>
    </x:row>
    <x:row r="62" ht="15" hidden="0" customHeight="1">
      <x:c r="A62" s="163"/>
      <x:c r="B62" s="163"/>
      <x:c r="C62" s="163"/>
      <x:c r="D62" s="163"/>
      <x:c r="E62" s="163"/>
      <x:c r="F62" s="163"/>
      <x:c r="G62" s="163"/>
      <x:c r="H62" s="163"/>
      <x:c r="I62" s="163"/>
      <x:c r="J62" s="163"/>
      <x:c r="K62" s="163"/>
      <x:c r="L62" s="163"/>
      <x:c r="M62" s="163"/>
      <x:c r="N62" s="163"/>
      <x:c r="O62" s="163"/>
      <x:c r="P62" s="163"/>
      <x:c r="Q62" s="163"/>
      <x:c r="R62" s="163"/>
      <x:c r="S62" s="163"/>
      <x:c r="T62" s="163"/>
      <x:c r="U62" s="163"/>
      <x:c r="V62" s="163"/>
      <x:c r="W62" s="163"/>
      <x:c r="X62" s="163"/>
      <x:c r="Y62" s="163"/>
      <x:c r="Z62" s="163"/>
    </x:row>
    <x:row r="63" ht="15" hidden="0" customHeight="1">
      <x:c r="A63" s="163"/>
      <x:c r="B63" s="163"/>
      <x:c r="C63" s="163"/>
      <x:c r="D63" s="163"/>
      <x:c r="E63" s="163"/>
      <x:c r="F63" s="163"/>
      <x:c r="G63" s="163"/>
      <x:c r="H63" s="163"/>
      <x:c r="I63" s="163"/>
      <x:c r="J63" s="163"/>
      <x:c r="K63" s="163"/>
      <x:c r="L63" s="163"/>
      <x:c r="M63" s="163"/>
      <x:c r="N63" s="163"/>
      <x:c r="O63" s="163"/>
      <x:c r="P63" s="163"/>
      <x:c r="Q63" s="163"/>
      <x:c r="R63" s="163"/>
      <x:c r="S63" s="163"/>
      <x:c r="T63" s="163"/>
      <x:c r="U63" s="163"/>
      <x:c r="V63" s="163"/>
      <x:c r="W63" s="163"/>
      <x:c r="X63" s="163"/>
      <x:c r="Y63" s="163"/>
      <x:c r="Z63" s="163"/>
    </x:row>
    <x:row r="64" ht="15" hidden="0" customHeight="1">
      <x:c r="A64" s="163"/>
      <x:c r="B64" s="163"/>
      <x:c r="C64" s="163"/>
      <x:c r="D64" s="163"/>
      <x:c r="E64" s="163"/>
      <x:c r="F64" s="163"/>
      <x:c r="G64" s="163"/>
      <x:c r="H64" s="163"/>
      <x:c r="I64" s="163"/>
      <x:c r="J64" s="163"/>
      <x:c r="K64" s="163"/>
      <x:c r="L64" s="163"/>
      <x:c r="M64" s="163"/>
      <x:c r="N64" s="163"/>
      <x:c r="O64" s="163"/>
      <x:c r="P64" s="163"/>
      <x:c r="Q64" s="163"/>
      <x:c r="R64" s="163"/>
      <x:c r="S64" s="163"/>
      <x:c r="T64" s="163"/>
      <x:c r="U64" s="163"/>
      <x:c r="V64" s="163"/>
      <x:c r="W64" s="163"/>
      <x:c r="X64" s="163"/>
      <x:c r="Y64" s="163"/>
      <x:c r="Z64" s="163"/>
    </x:row>
    <x:row r="65" ht="15" hidden="0" customHeight="1">
      <x:c r="A65" s="163"/>
      <x:c r="B65" s="163"/>
      <x:c r="C65" s="163"/>
      <x:c r="D65" s="163"/>
      <x:c r="E65" s="163"/>
      <x:c r="F65" s="163"/>
      <x:c r="G65" s="163"/>
      <x:c r="H65" s="163"/>
      <x:c r="I65" s="163"/>
      <x:c r="J65" s="163"/>
      <x:c r="K65" s="163"/>
      <x:c r="L65" s="163"/>
      <x:c r="M65" s="163"/>
      <x:c r="N65" s="163"/>
      <x:c r="O65" s="163"/>
      <x:c r="P65" s="163"/>
      <x:c r="Q65" s="163"/>
      <x:c r="R65" s="163"/>
      <x:c r="S65" s="163"/>
      <x:c r="T65" s="163"/>
      <x:c r="U65" s="163"/>
      <x:c r="V65" s="163"/>
      <x:c r="W65" s="163"/>
      <x:c r="X65" s="163"/>
      <x:c r="Y65" s="163"/>
      <x:c r="Z65" s="163"/>
    </x:row>
    <x:row r="66" ht="15" hidden="0" customHeight="1">
      <x:c r="A66" s="163"/>
      <x:c r="B66" s="163"/>
      <x:c r="C66" s="163"/>
      <x:c r="D66" s="163"/>
      <x:c r="E66" s="163"/>
      <x:c r="F66" s="163"/>
      <x:c r="G66" s="163"/>
      <x:c r="H66" s="163"/>
      <x:c r="I66" s="163"/>
      <x:c r="J66" s="163"/>
      <x:c r="K66" s="163"/>
      <x:c r="L66" s="163"/>
      <x:c r="M66" s="163"/>
      <x:c r="N66" s="163"/>
      <x:c r="O66" s="163"/>
      <x:c r="P66" s="163"/>
      <x:c r="Q66" s="163"/>
      <x:c r="R66" s="163"/>
      <x:c r="S66" s="163"/>
      <x:c r="T66" s="163"/>
      <x:c r="U66" s="163"/>
      <x:c r="V66" s="163"/>
      <x:c r="W66" s="163"/>
      <x:c r="X66" s="163"/>
      <x:c r="Y66" s="163"/>
      <x:c r="Z66" s="163"/>
    </x:row>
    <x:row r="67" ht="15" hidden="0" customHeight="1">
      <x:c r="A67" s="163"/>
      <x:c r="B67" s="163"/>
      <x:c r="C67" s="163"/>
      <x:c r="D67" s="163"/>
      <x:c r="E67" s="163"/>
      <x:c r="F67" s="163"/>
      <x:c r="G67" s="163"/>
      <x:c r="H67" s="163"/>
      <x:c r="I67" s="163"/>
      <x:c r="J67" s="163"/>
      <x:c r="K67" s="163"/>
      <x:c r="L67" s="163"/>
      <x:c r="M67" s="163"/>
      <x:c r="N67" s="163"/>
      <x:c r="O67" s="163"/>
      <x:c r="P67" s="163"/>
      <x:c r="Q67" s="163"/>
      <x:c r="R67" s="163"/>
      <x:c r="S67" s="163"/>
      <x:c r="T67" s="163"/>
      <x:c r="U67" s="163"/>
      <x:c r="V67" s="163"/>
      <x:c r="W67" s="163"/>
      <x:c r="X67" s="163"/>
      <x:c r="Y67" s="163"/>
      <x:c r="Z67" s="163"/>
    </x:row>
    <x:row r="68" ht="15" hidden="0" customHeight="1">
      <x:c r="A68" s="163"/>
      <x:c r="B68" s="163"/>
      <x:c r="C68" s="163"/>
      <x:c r="D68" s="163"/>
      <x:c r="E68" s="163"/>
      <x:c r="F68" s="163"/>
      <x:c r="G68" s="163"/>
      <x:c r="H68" s="163"/>
      <x:c r="I68" s="163"/>
      <x:c r="J68" s="163"/>
      <x:c r="K68" s="163"/>
      <x:c r="L68" s="163"/>
      <x:c r="M68" s="163"/>
      <x:c r="N68" s="163"/>
      <x:c r="O68" s="163"/>
      <x:c r="P68" s="163"/>
      <x:c r="Q68" s="163"/>
      <x:c r="R68" s="163"/>
      <x:c r="S68" s="163"/>
      <x:c r="T68" s="163"/>
      <x:c r="U68" s="163"/>
      <x:c r="V68" s="163"/>
      <x:c r="W68" s="163"/>
      <x:c r="X68" s="163"/>
      <x:c r="Y68" s="163"/>
      <x:c r="Z68" s="163"/>
    </x:row>
    <x:row r="69" ht="15" hidden="0" customHeight="1">
      <x:c r="A69" s="163"/>
      <x:c r="B69" s="163"/>
      <x:c r="C69" s="163"/>
      <x:c r="D69" s="163"/>
      <x:c r="E69" s="163"/>
      <x:c r="F69" s="163"/>
      <x:c r="G69" s="163"/>
      <x:c r="H69" s="163"/>
      <x:c r="I69" s="163"/>
      <x:c r="J69" s="163"/>
      <x:c r="K69" s="163"/>
      <x:c r="L69" s="163"/>
      <x:c r="M69" s="163"/>
      <x:c r="N69" s="163"/>
      <x:c r="O69" s="163"/>
      <x:c r="P69" s="163"/>
      <x:c r="Q69" s="163"/>
      <x:c r="R69" s="163"/>
      <x:c r="S69" s="163"/>
      <x:c r="T69" s="163"/>
      <x:c r="U69" s="163"/>
      <x:c r="V69" s="163"/>
      <x:c r="W69" s="163"/>
      <x:c r="X69" s="163"/>
      <x:c r="Y69" s="163"/>
      <x:c r="Z69" s="163"/>
    </x:row>
    <x:row r="70" ht="15" hidden="0" customHeight="1">
      <x:c r="A70" s="163"/>
      <x:c r="B70" s="163"/>
      <x:c r="C70" s="163"/>
      <x:c r="D70" s="163"/>
      <x:c r="E70" s="163"/>
      <x:c r="F70" s="163"/>
      <x:c r="G70" s="163"/>
      <x:c r="H70" s="163"/>
      <x:c r="I70" s="163"/>
      <x:c r="J70" s="163"/>
      <x:c r="K70" s="163"/>
      <x:c r="L70" s="163"/>
      <x:c r="M70" s="163"/>
      <x:c r="N70" s="163"/>
      <x:c r="O70" s="163"/>
      <x:c r="P70" s="163"/>
      <x:c r="Q70" s="163"/>
      <x:c r="R70" s="163"/>
      <x:c r="S70" s="163"/>
      <x:c r="T70" s="163"/>
      <x:c r="U70" s="163"/>
      <x:c r="V70" s="163"/>
      <x:c r="W70" s="163"/>
      <x:c r="X70" s="163"/>
      <x:c r="Y70" s="163"/>
      <x:c r="Z70" s="163"/>
    </x:row>
    <x:row r="71" ht="15" hidden="0" customHeight="1">
      <x:c r="A71" s="163"/>
      <x:c r="B71" s="163"/>
      <x:c r="C71" s="163"/>
      <x:c r="D71" s="163"/>
      <x:c r="E71" s="163"/>
      <x:c r="F71" s="163"/>
      <x:c r="G71" s="163"/>
      <x:c r="H71" s="163"/>
      <x:c r="I71" s="163"/>
      <x:c r="J71" s="163"/>
      <x:c r="K71" s="163"/>
      <x:c r="L71" s="163"/>
      <x:c r="M71" s="163"/>
      <x:c r="N71" s="163"/>
      <x:c r="O71" s="163"/>
      <x:c r="P71" s="163"/>
      <x:c r="Q71" s="163"/>
      <x:c r="R71" s="163"/>
      <x:c r="S71" s="163"/>
      <x:c r="T71" s="163"/>
      <x:c r="U71" s="163"/>
      <x:c r="V71" s="163"/>
      <x:c r="W71" s="163"/>
      <x:c r="X71" s="163"/>
      <x:c r="Y71" s="163"/>
      <x:c r="Z71" s="163"/>
    </x:row>
    <x:row r="72" ht="15" hidden="0" customHeight="1">
      <x:c r="A72" s="163"/>
      <x:c r="B72" s="163"/>
      <x:c r="C72" s="163"/>
      <x:c r="D72" s="163"/>
      <x:c r="E72" s="163"/>
      <x:c r="F72" s="163"/>
      <x:c r="G72" s="163"/>
      <x:c r="H72" s="163"/>
      <x:c r="I72" s="163"/>
      <x:c r="J72" s="163"/>
      <x:c r="K72" s="163"/>
      <x:c r="L72" s="163"/>
      <x:c r="M72" s="163"/>
      <x:c r="N72" s="163"/>
      <x:c r="O72" s="163"/>
      <x:c r="P72" s="163"/>
      <x:c r="Q72" s="163"/>
      <x:c r="R72" s="163"/>
      <x:c r="S72" s="163"/>
      <x:c r="T72" s="163"/>
      <x:c r="U72" s="163"/>
      <x:c r="V72" s="163"/>
      <x:c r="W72" s="163"/>
      <x:c r="X72" s="163"/>
      <x:c r="Y72" s="163"/>
      <x:c r="Z72" s="163"/>
    </x:row>
    <x:row r="73" ht="15" hidden="0" customHeight="1">
      <x:c r="A73" s="163"/>
      <x:c r="B73" s="163"/>
      <x:c r="C73" s="163"/>
      <x:c r="D73" s="163"/>
      <x:c r="E73" s="163"/>
      <x:c r="F73" s="163"/>
      <x:c r="G73" s="163"/>
      <x:c r="H73" s="163"/>
      <x:c r="I73" s="163"/>
      <x:c r="J73" s="163"/>
      <x:c r="K73" s="163"/>
      <x:c r="L73" s="163"/>
      <x:c r="M73" s="163"/>
      <x:c r="N73" s="163"/>
      <x:c r="O73" s="163"/>
      <x:c r="P73" s="163"/>
      <x:c r="Q73" s="163"/>
      <x:c r="R73" s="163"/>
      <x:c r="S73" s="163"/>
      <x:c r="T73" s="163"/>
      <x:c r="U73" s="163"/>
      <x:c r="V73" s="163"/>
      <x:c r="W73" s="163"/>
      <x:c r="X73" s="163"/>
      <x:c r="Y73" s="163"/>
      <x:c r="Z73" s="163"/>
    </x:row>
    <x:row r="74" ht="15" hidden="0" customHeight="1">
      <x:c r="A74" s="163"/>
      <x:c r="B74" s="163"/>
      <x:c r="C74" s="163"/>
      <x:c r="D74" s="163"/>
      <x:c r="E74" s="163"/>
      <x:c r="F74" s="163"/>
      <x:c r="G74" s="163"/>
      <x:c r="H74" s="163"/>
      <x:c r="I74" s="163"/>
      <x:c r="J74" s="163"/>
      <x:c r="K74" s="163"/>
      <x:c r="L74" s="163"/>
      <x:c r="M74" s="163"/>
      <x:c r="N74" s="163"/>
      <x:c r="O74" s="163"/>
      <x:c r="P74" s="163"/>
      <x:c r="Q74" s="163"/>
      <x:c r="R74" s="163"/>
      <x:c r="S74" s="163"/>
      <x:c r="T74" s="163"/>
      <x:c r="U74" s="163"/>
      <x:c r="V74" s="163"/>
      <x:c r="W74" s="163"/>
      <x:c r="X74" s="163"/>
      <x:c r="Y74" s="163"/>
      <x:c r="Z74" s="163"/>
    </x:row>
    <x:row r="75" ht="15" hidden="0" customHeight="1">
      <x:c r="A75" s="163"/>
      <x:c r="B75" s="163"/>
      <x:c r="C75" s="163"/>
      <x:c r="D75" s="163"/>
      <x:c r="E75" s="163"/>
      <x:c r="F75" s="163"/>
      <x:c r="G75" s="163"/>
      <x:c r="H75" s="163"/>
      <x:c r="I75" s="163"/>
      <x:c r="J75" s="163"/>
      <x:c r="K75" s="163"/>
      <x:c r="L75" s="163"/>
      <x:c r="M75" s="163"/>
      <x:c r="N75" s="163"/>
      <x:c r="O75" s="163"/>
      <x:c r="P75" s="163"/>
      <x:c r="Q75" s="163"/>
      <x:c r="R75" s="163"/>
      <x:c r="S75" s="163"/>
      <x:c r="T75" s="163"/>
      <x:c r="U75" s="163"/>
      <x:c r="V75" s="163"/>
      <x:c r="W75" s="163"/>
      <x:c r="X75" s="163"/>
      <x:c r="Y75" s="163"/>
      <x:c r="Z75" s="163"/>
    </x:row>
    <x:row r="76" ht="15" hidden="0" customHeight="1">
      <x:c r="A76" s="163"/>
      <x:c r="B76" s="163"/>
      <x:c r="C76" s="163"/>
      <x:c r="D76" s="163"/>
      <x:c r="E76" s="163"/>
      <x:c r="F76" s="163"/>
      <x:c r="G76" s="163"/>
      <x:c r="H76" s="163"/>
      <x:c r="I76" s="163"/>
      <x:c r="J76" s="163"/>
      <x:c r="K76" s="163"/>
      <x:c r="L76" s="163"/>
      <x:c r="M76" s="163"/>
      <x:c r="N76" s="163"/>
      <x:c r="O76" s="163"/>
      <x:c r="P76" s="163"/>
      <x:c r="Q76" s="163"/>
      <x:c r="R76" s="163"/>
      <x:c r="S76" s="163"/>
      <x:c r="T76" s="163"/>
      <x:c r="U76" s="163"/>
      <x:c r="V76" s="163"/>
      <x:c r="W76" s="163"/>
      <x:c r="X76" s="163"/>
      <x:c r="Y76" s="163"/>
      <x:c r="Z76" s="163"/>
    </x:row>
    <x:row r="77" ht="15" hidden="0" customHeight="1">
      <x:c r="A77" s="163"/>
      <x:c r="B77" s="163"/>
      <x:c r="C77" s="163"/>
      <x:c r="D77" s="163"/>
      <x:c r="E77" s="163"/>
      <x:c r="F77" s="163"/>
      <x:c r="G77" s="163"/>
      <x:c r="H77" s="163"/>
      <x:c r="I77" s="163"/>
      <x:c r="J77" s="163"/>
      <x:c r="K77" s="163"/>
      <x:c r="L77" s="163"/>
      <x:c r="M77" s="163"/>
      <x:c r="N77" s="163"/>
      <x:c r="O77" s="163"/>
      <x:c r="P77" s="163"/>
      <x:c r="Q77" s="163"/>
      <x:c r="R77" s="163"/>
      <x:c r="S77" s="163"/>
      <x:c r="T77" s="163"/>
      <x:c r="U77" s="163"/>
      <x:c r="V77" s="163"/>
      <x:c r="W77" s="163"/>
      <x:c r="X77" s="163"/>
      <x:c r="Y77" s="163"/>
      <x:c r="Z77" s="163"/>
    </x:row>
    <x:row r="78" ht="15" hidden="0" customHeight="1">
      <x:c r="A78" s="163"/>
      <x:c r="B78" s="163"/>
      <x:c r="C78" s="163"/>
      <x:c r="D78" s="163"/>
      <x:c r="E78" s="163"/>
      <x:c r="F78" s="163"/>
      <x:c r="G78" s="163"/>
      <x:c r="H78" s="163"/>
      <x:c r="I78" s="163"/>
      <x:c r="J78" s="163"/>
      <x:c r="K78" s="163"/>
      <x:c r="L78" s="163"/>
      <x:c r="M78" s="163"/>
      <x:c r="N78" s="163"/>
      <x:c r="O78" s="163"/>
      <x:c r="P78" s="163"/>
      <x:c r="Q78" s="163"/>
      <x:c r="R78" s="163"/>
      <x:c r="S78" s="163"/>
      <x:c r="T78" s="163"/>
      <x:c r="U78" s="163"/>
      <x:c r="V78" s="163"/>
      <x:c r="W78" s="163"/>
      <x:c r="X78" s="163"/>
      <x:c r="Y78" s="163"/>
      <x:c r="Z78" s="163"/>
    </x:row>
    <x:row r="79" ht="15" hidden="0" customHeight="1">
      <x:c r="A79" s="163"/>
      <x:c r="B79" s="163"/>
      <x:c r="C79" s="163"/>
      <x:c r="D79" s="163"/>
      <x:c r="E79" s="163"/>
      <x:c r="F79" s="163"/>
      <x:c r="G79" s="163"/>
      <x:c r="H79" s="163"/>
      <x:c r="I79" s="163"/>
      <x:c r="J79" s="163"/>
      <x:c r="K79" s="163"/>
      <x:c r="L79" s="163"/>
      <x:c r="M79" s="163"/>
      <x:c r="N79" s="163"/>
      <x:c r="O79" s="163"/>
      <x:c r="P79" s="163"/>
      <x:c r="Q79" s="163"/>
      <x:c r="R79" s="163"/>
      <x:c r="S79" s="163"/>
      <x:c r="T79" s="163"/>
      <x:c r="U79" s="163"/>
      <x:c r="V79" s="163"/>
      <x:c r="W79" s="163"/>
      <x:c r="X79" s="163"/>
      <x:c r="Y79" s="163"/>
      <x:c r="Z79" s="163"/>
    </x:row>
    <x:row r="80" ht="15" hidden="0" customHeight="1">
      <x:c r="A80" s="163"/>
      <x:c r="B80" s="163"/>
      <x:c r="C80" s="163"/>
      <x:c r="D80" s="163"/>
      <x:c r="E80" s="163"/>
      <x:c r="F80" s="163"/>
      <x:c r="G80" s="163"/>
      <x:c r="H80" s="163"/>
      <x:c r="I80" s="163"/>
      <x:c r="J80" s="163"/>
      <x:c r="K80" s="163"/>
      <x:c r="L80" s="163"/>
      <x:c r="M80" s="163"/>
      <x:c r="N80" s="163"/>
      <x:c r="O80" s="163"/>
      <x:c r="P80" s="163"/>
      <x:c r="Q80" s="163"/>
      <x:c r="R80" s="163"/>
      <x:c r="S80" s="163"/>
      <x:c r="T80" s="163"/>
      <x:c r="U80" s="163"/>
      <x:c r="V80" s="163"/>
      <x:c r="W80" s="163"/>
      <x:c r="X80" s="163"/>
      <x:c r="Y80" s="163"/>
      <x:c r="Z80" s="163"/>
    </x:row>
    <x:row r="81" ht="15" hidden="0" customHeight="1">
      <x:c r="A81" s="163"/>
      <x:c r="B81" s="163"/>
      <x:c r="C81" s="163"/>
      <x:c r="D81" s="163"/>
      <x:c r="E81" s="163"/>
      <x:c r="F81" s="163"/>
      <x:c r="G81" s="163"/>
      <x:c r="H81" s="163"/>
      <x:c r="I81" s="163"/>
      <x:c r="J81" s="163"/>
      <x:c r="K81" s="163"/>
      <x:c r="L81" s="163"/>
      <x:c r="M81" s="163"/>
      <x:c r="N81" s="163"/>
      <x:c r="O81" s="163"/>
      <x:c r="P81" s="163"/>
      <x:c r="Q81" s="163"/>
      <x:c r="R81" s="163"/>
      <x:c r="S81" s="163"/>
      <x:c r="T81" s="163"/>
      <x:c r="U81" s="163"/>
      <x:c r="V81" s="163"/>
      <x:c r="W81" s="163"/>
      <x:c r="X81" s="163"/>
      <x:c r="Y81" s="163"/>
      <x:c r="Z81" s="163"/>
    </x:row>
    <x:row r="82" ht="15" hidden="0" customHeight="1">
      <x:c r="A82" s="163"/>
      <x:c r="B82" s="163"/>
      <x:c r="C82" s="163"/>
      <x:c r="D82" s="163"/>
      <x:c r="E82" s="163"/>
      <x:c r="F82" s="163"/>
      <x:c r="G82" s="163"/>
      <x:c r="H82" s="163"/>
      <x:c r="I82" s="163"/>
      <x:c r="J82" s="163"/>
      <x:c r="K82" s="163"/>
      <x:c r="L82" s="163"/>
      <x:c r="M82" s="163"/>
      <x:c r="N82" s="163"/>
      <x:c r="O82" s="163"/>
      <x:c r="P82" s="163"/>
      <x:c r="Q82" s="163"/>
      <x:c r="R82" s="163"/>
      <x:c r="S82" s="163"/>
      <x:c r="T82" s="163"/>
      <x:c r="U82" s="163"/>
      <x:c r="V82" s="163"/>
      <x:c r="W82" s="163"/>
      <x:c r="X82" s="163"/>
      <x:c r="Y82" s="163"/>
      <x:c r="Z82" s="163"/>
    </x:row>
    <x:row r="83" ht="15" hidden="0" customHeight="1">
      <x:c r="A83" s="163"/>
      <x:c r="B83" s="163"/>
      <x:c r="C83" s="163"/>
      <x:c r="D83" s="163"/>
      <x:c r="E83" s="163"/>
      <x:c r="F83" s="163"/>
      <x:c r="G83" s="163"/>
      <x:c r="H83" s="163"/>
      <x:c r="I83" s="163"/>
      <x:c r="J83" s="163"/>
      <x:c r="K83" s="163"/>
      <x:c r="L83" s="163"/>
      <x:c r="M83" s="163"/>
      <x:c r="N83" s="163"/>
      <x:c r="O83" s="163"/>
      <x:c r="P83" s="163"/>
      <x:c r="Q83" s="163"/>
      <x:c r="R83" s="163"/>
      <x:c r="S83" s="163"/>
      <x:c r="T83" s="163"/>
      <x:c r="U83" s="163"/>
      <x:c r="V83" s="163"/>
      <x:c r="W83" s="163"/>
      <x:c r="X83" s="163"/>
      <x:c r="Y83" s="163"/>
      <x:c r="Z83" s="163"/>
    </x:row>
    <x:row r="84" ht="15" hidden="0" customHeight="1">
      <x:c r="A84" s="163"/>
      <x:c r="B84" s="163"/>
      <x:c r="C84" s="163"/>
      <x:c r="D84" s="163"/>
      <x:c r="E84" s="163"/>
      <x:c r="F84" s="163"/>
      <x:c r="G84" s="163"/>
      <x:c r="H84" s="163"/>
      <x:c r="I84" s="163"/>
      <x:c r="J84" s="163"/>
      <x:c r="K84" s="163"/>
      <x:c r="L84" s="163"/>
      <x:c r="M84" s="163"/>
      <x:c r="N84" s="163"/>
      <x:c r="O84" s="163"/>
      <x:c r="P84" s="163"/>
      <x:c r="Q84" s="163"/>
      <x:c r="R84" s="163"/>
      <x:c r="S84" s="163"/>
      <x:c r="T84" s="163"/>
      <x:c r="U84" s="163"/>
      <x:c r="V84" s="163"/>
      <x:c r="W84" s="163"/>
      <x:c r="X84" s="163"/>
      <x:c r="Y84" s="163"/>
      <x:c r="Z84" s="163"/>
    </x:row>
    <x:row r="85" ht="15" hidden="0" customHeight="1">
      <x:c r="A85" s="163"/>
      <x:c r="B85" s="163"/>
      <x:c r="C85" s="163"/>
      <x:c r="D85" s="163"/>
      <x:c r="E85" s="163"/>
      <x:c r="F85" s="163"/>
      <x:c r="G85" s="163"/>
      <x:c r="H85" s="163"/>
      <x:c r="I85" s="163"/>
      <x:c r="J85" s="163"/>
      <x:c r="K85" s="163"/>
      <x:c r="L85" s="163"/>
      <x:c r="M85" s="163"/>
      <x:c r="N85" s="163"/>
      <x:c r="O85" s="163"/>
      <x:c r="P85" s="163"/>
      <x:c r="Q85" s="163"/>
      <x:c r="R85" s="163"/>
      <x:c r="S85" s="163"/>
      <x:c r="T85" s="163"/>
      <x:c r="U85" s="163"/>
      <x:c r="V85" s="163"/>
      <x:c r="W85" s="163"/>
      <x:c r="X85" s="163"/>
      <x:c r="Y85" s="163"/>
      <x:c r="Z85" s="163"/>
    </x:row>
    <x:row r="86" ht="15" hidden="0" customHeight="1">
      <x:c r="A86" s="163"/>
      <x:c r="B86" s="163"/>
      <x:c r="C86" s="163"/>
      <x:c r="D86" s="163"/>
      <x:c r="E86" s="163"/>
      <x:c r="F86" s="163"/>
      <x:c r="G86" s="163"/>
      <x:c r="H86" s="163"/>
      <x:c r="I86" s="163"/>
      <x:c r="J86" s="163"/>
      <x:c r="K86" s="163"/>
      <x:c r="L86" s="163"/>
      <x:c r="M86" s="163"/>
      <x:c r="N86" s="163"/>
      <x:c r="O86" s="163"/>
      <x:c r="P86" s="163"/>
      <x:c r="Q86" s="163"/>
      <x:c r="R86" s="163"/>
      <x:c r="S86" s="163"/>
      <x:c r="T86" s="163"/>
      <x:c r="U86" s="163"/>
      <x:c r="V86" s="163"/>
      <x:c r="W86" s="163"/>
      <x:c r="X86" s="163"/>
      <x:c r="Y86" s="163"/>
      <x:c r="Z86" s="163"/>
    </x:row>
    <x:row r="87" ht="15" hidden="0" customHeight="1">
      <x:c r="A87" s="163"/>
      <x:c r="B87" s="163"/>
      <x:c r="C87" s="163"/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63"/>
      <x:c r="S87" s="163"/>
      <x:c r="T87" s="163"/>
      <x:c r="U87" s="163"/>
      <x:c r="V87" s="163"/>
      <x:c r="W87" s="163"/>
      <x:c r="X87" s="163"/>
      <x:c r="Y87" s="163"/>
      <x:c r="Z87" s="163"/>
    </x:row>
    <x:row r="88" ht="15" hidden="0" customHeight="1">
      <x:c r="A88" s="163"/>
      <x:c r="B88" s="163"/>
      <x:c r="C88" s="163"/>
      <x:c r="D88" s="163"/>
      <x:c r="E88" s="163"/>
      <x:c r="F88" s="163"/>
      <x:c r="G88" s="163"/>
      <x:c r="H88" s="163"/>
      <x:c r="I88" s="163"/>
      <x:c r="J88" s="163"/>
      <x:c r="K88" s="163"/>
      <x:c r="L88" s="163"/>
      <x:c r="M88" s="163"/>
      <x:c r="N88" s="163"/>
      <x:c r="O88" s="163"/>
      <x:c r="P88" s="163"/>
      <x:c r="Q88" s="163"/>
      <x:c r="R88" s="163"/>
      <x:c r="S88" s="163"/>
      <x:c r="T88" s="163"/>
      <x:c r="U88" s="163"/>
      <x:c r="V88" s="163"/>
      <x:c r="W88" s="163"/>
      <x:c r="X88" s="163"/>
      <x:c r="Y88" s="163"/>
      <x:c r="Z88" s="163"/>
    </x:row>
    <x:row r="89" ht="15" hidden="0" customHeight="1">
      <x:c r="A89" s="163"/>
      <x:c r="B89" s="163"/>
      <x:c r="C89" s="163"/>
      <x:c r="D89" s="163"/>
      <x:c r="E89" s="163"/>
      <x:c r="F89" s="163"/>
      <x:c r="G89" s="163"/>
      <x:c r="H89" s="163"/>
      <x:c r="I89" s="163"/>
      <x:c r="J89" s="163"/>
      <x:c r="K89" s="163"/>
      <x:c r="L89" s="163"/>
      <x:c r="M89" s="163"/>
      <x:c r="N89" s="163"/>
      <x:c r="O89" s="163"/>
      <x:c r="P89" s="163"/>
      <x:c r="Q89" s="163"/>
      <x:c r="R89" s="163"/>
      <x:c r="S89" s="163"/>
      <x:c r="T89" s="163"/>
      <x:c r="U89" s="163"/>
      <x:c r="V89" s="163"/>
      <x:c r="W89" s="163"/>
      <x:c r="X89" s="163"/>
      <x:c r="Y89" s="163"/>
      <x:c r="Z89" s="163"/>
    </x:row>
    <x:row r="90" ht="15" hidden="0" customHeight="1">
      <x:c r="A90" s="163"/>
      <x:c r="B90" s="163"/>
      <x:c r="C90" s="163"/>
      <x:c r="D90" s="163"/>
      <x:c r="E90" s="163"/>
      <x:c r="F90" s="163"/>
      <x:c r="G90" s="163"/>
      <x:c r="H90" s="163"/>
      <x:c r="I90" s="163"/>
      <x:c r="J90" s="163"/>
      <x:c r="K90" s="163"/>
      <x:c r="L90" s="163"/>
      <x:c r="M90" s="163"/>
      <x:c r="N90" s="163"/>
      <x:c r="O90" s="163"/>
      <x:c r="P90" s="163"/>
      <x:c r="Q90" s="163"/>
      <x:c r="R90" s="163"/>
      <x:c r="S90" s="163"/>
      <x:c r="T90" s="163"/>
      <x:c r="U90" s="163"/>
      <x:c r="V90" s="163"/>
      <x:c r="W90" s="163"/>
      <x:c r="X90" s="163"/>
      <x:c r="Y90" s="163"/>
      <x:c r="Z90" s="163"/>
    </x:row>
    <x:row r="91" ht="15" hidden="0" customHeight="1">
      <x:c r="A91" s="163"/>
      <x:c r="B91" s="163"/>
      <x:c r="C91" s="163"/>
      <x:c r="D91" s="163"/>
      <x:c r="E91" s="163"/>
      <x:c r="F91" s="163"/>
      <x:c r="G91" s="163"/>
      <x:c r="H91" s="163"/>
      <x:c r="I91" s="163"/>
      <x:c r="J91" s="163"/>
      <x:c r="K91" s="163"/>
      <x:c r="L91" s="163"/>
      <x:c r="M91" s="163"/>
      <x:c r="N91" s="163"/>
      <x:c r="O91" s="163"/>
      <x:c r="P91" s="163"/>
      <x:c r="Q91" s="163"/>
      <x:c r="R91" s="163"/>
      <x:c r="S91" s="163"/>
      <x:c r="T91" s="163"/>
      <x:c r="U91" s="163"/>
      <x:c r="V91" s="163"/>
      <x:c r="W91" s="163"/>
      <x:c r="X91" s="163"/>
      <x:c r="Y91" s="163"/>
      <x:c r="Z91" s="163"/>
    </x:row>
    <x:row r="92" ht="15" hidden="0" customHeight="1">
      <x:c r="A92" s="163"/>
      <x:c r="B92" s="163"/>
      <x:c r="C92" s="163"/>
      <x:c r="D92" s="163"/>
      <x:c r="E92" s="163"/>
      <x:c r="F92" s="163"/>
      <x:c r="G92" s="163"/>
      <x:c r="H92" s="163"/>
      <x:c r="I92" s="163"/>
      <x:c r="J92" s="163"/>
      <x:c r="K92" s="163"/>
      <x:c r="L92" s="163"/>
      <x:c r="M92" s="163"/>
      <x:c r="N92" s="163"/>
      <x:c r="O92" s="163"/>
      <x:c r="P92" s="163"/>
      <x:c r="Q92" s="163"/>
      <x:c r="R92" s="163"/>
      <x:c r="S92" s="163"/>
      <x:c r="T92" s="163"/>
      <x:c r="U92" s="163"/>
      <x:c r="V92" s="163"/>
      <x:c r="W92" s="163"/>
      <x:c r="X92" s="163"/>
      <x:c r="Y92" s="163"/>
      <x:c r="Z92" s="163"/>
    </x:row>
    <x:row r="93" ht="15" hidden="0" customHeight="1">
      <x:c r="A93" s="163"/>
      <x:c r="B93" s="163"/>
      <x:c r="C93" s="163"/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63"/>
      <x:c r="S93" s="163"/>
      <x:c r="T93" s="163"/>
      <x:c r="U93" s="163"/>
      <x:c r="V93" s="163"/>
      <x:c r="W93" s="163"/>
      <x:c r="X93" s="163"/>
      <x:c r="Y93" s="163"/>
      <x:c r="Z93" s="163"/>
    </x:row>
    <x:row r="94" ht="15" hidden="0" customHeight="1">
      <x:c r="A94" s="163"/>
      <x:c r="B94" s="163"/>
      <x:c r="C94" s="163"/>
      <x:c r="D94" s="163"/>
      <x:c r="E94" s="163"/>
      <x:c r="F94" s="163"/>
      <x:c r="G94" s="163"/>
      <x:c r="H94" s="163"/>
      <x:c r="I94" s="163"/>
      <x:c r="J94" s="163"/>
      <x:c r="K94" s="163"/>
      <x:c r="L94" s="163"/>
      <x:c r="M94" s="163"/>
      <x:c r="N94" s="163"/>
      <x:c r="O94" s="163"/>
      <x:c r="P94" s="163"/>
      <x:c r="Q94" s="163"/>
      <x:c r="R94" s="163"/>
      <x:c r="S94" s="163"/>
      <x:c r="T94" s="163"/>
      <x:c r="U94" s="163"/>
      <x:c r="V94" s="163"/>
      <x:c r="W94" s="163"/>
      <x:c r="X94" s="163"/>
      <x:c r="Y94" s="163"/>
      <x:c r="Z94" s="163"/>
    </x:row>
    <x:row r="95" ht="15" hidden="0" customHeight="1">
      <x:c r="A95" s="163"/>
      <x:c r="B95" s="163"/>
      <x:c r="C95" s="163"/>
      <x:c r="D95" s="163"/>
      <x:c r="E95" s="163"/>
      <x:c r="F95" s="163"/>
      <x:c r="G95" s="163"/>
      <x:c r="H95" s="163"/>
      <x:c r="I95" s="163"/>
      <x:c r="J95" s="163"/>
      <x:c r="K95" s="163"/>
      <x:c r="L95" s="163"/>
      <x:c r="M95" s="163"/>
      <x:c r="N95" s="163"/>
      <x:c r="O95" s="163"/>
      <x:c r="P95" s="163"/>
      <x:c r="Q95" s="163"/>
      <x:c r="R95" s="163"/>
      <x:c r="S95" s="163"/>
      <x:c r="T95" s="163"/>
      <x:c r="U95" s="163"/>
      <x:c r="V95" s="163"/>
      <x:c r="W95" s="163"/>
      <x:c r="X95" s="163"/>
      <x:c r="Y95" s="163"/>
      <x:c r="Z95" s="163"/>
    </x:row>
    <x:row r="96" ht="15" hidden="0" customHeight="1">
      <x:c r="A96" s="163"/>
      <x:c r="B96" s="163"/>
      <x:c r="C96" s="163"/>
      <x:c r="D96" s="163"/>
      <x:c r="E96" s="163"/>
      <x:c r="F96" s="163"/>
      <x:c r="G96" s="163"/>
      <x:c r="H96" s="163"/>
      <x:c r="I96" s="163"/>
      <x:c r="J96" s="163"/>
      <x:c r="K96" s="163"/>
      <x:c r="L96" s="163"/>
      <x:c r="M96" s="163"/>
      <x:c r="N96" s="163"/>
      <x:c r="O96" s="163"/>
      <x:c r="P96" s="163"/>
      <x:c r="Q96" s="163"/>
      <x:c r="R96" s="163"/>
      <x:c r="S96" s="163"/>
      <x:c r="T96" s="163"/>
      <x:c r="U96" s="163"/>
      <x:c r="V96" s="163"/>
      <x:c r="W96" s="163"/>
      <x:c r="X96" s="163"/>
      <x:c r="Y96" s="163"/>
      <x:c r="Z96" s="163"/>
    </x:row>
    <x:row r="97" ht="15" hidden="0" customHeight="1">
      <x:c r="A97" s="163"/>
      <x:c r="B97" s="163"/>
      <x:c r="C97" s="163"/>
      <x:c r="D97" s="163"/>
      <x:c r="E97" s="163"/>
      <x:c r="F97" s="163"/>
      <x:c r="G97" s="163"/>
      <x:c r="H97" s="163"/>
      <x:c r="I97" s="163"/>
      <x:c r="J97" s="163"/>
      <x:c r="K97" s="163"/>
      <x:c r="L97" s="163"/>
      <x:c r="M97" s="163"/>
      <x:c r="N97" s="163"/>
      <x:c r="O97" s="163"/>
      <x:c r="P97" s="163"/>
      <x:c r="Q97" s="163"/>
      <x:c r="R97" s="163"/>
      <x:c r="S97" s="163"/>
      <x:c r="T97" s="163"/>
      <x:c r="U97" s="163"/>
      <x:c r="V97" s="163"/>
      <x:c r="W97" s="163"/>
      <x:c r="X97" s="163"/>
      <x:c r="Y97" s="163"/>
      <x:c r="Z97" s="163"/>
    </x:row>
    <x:row r="98" ht="15" hidden="0" customHeight="1">
      <x:c r="A98" s="163"/>
      <x:c r="B98" s="163"/>
      <x:c r="C98" s="163"/>
      <x:c r="D98" s="163"/>
      <x:c r="E98" s="163"/>
      <x:c r="F98" s="163"/>
      <x:c r="G98" s="163"/>
      <x:c r="H98" s="163"/>
      <x:c r="I98" s="163"/>
      <x:c r="J98" s="163"/>
      <x:c r="K98" s="163"/>
      <x:c r="L98" s="163"/>
      <x:c r="M98" s="163"/>
      <x:c r="N98" s="163"/>
      <x:c r="O98" s="163"/>
      <x:c r="P98" s="163"/>
      <x:c r="Q98" s="163"/>
      <x:c r="R98" s="163"/>
      <x:c r="S98" s="163"/>
      <x:c r="T98" s="163"/>
      <x:c r="U98" s="163"/>
      <x:c r="V98" s="163"/>
      <x:c r="W98" s="163"/>
      <x:c r="X98" s="163"/>
      <x:c r="Y98" s="163"/>
      <x:c r="Z98" s="163"/>
    </x:row>
    <x:row r="99" ht="15" hidden="0" customHeight="1">
      <x:c r="A99" s="163"/>
      <x:c r="B99" s="163"/>
      <x:c r="C99" s="163"/>
      <x:c r="D99" s="163"/>
      <x:c r="E99" s="163"/>
      <x:c r="F99" s="163"/>
      <x:c r="G99" s="163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63"/>
      <x:c r="S99" s="163"/>
      <x:c r="T99" s="163"/>
      <x:c r="U99" s="163"/>
      <x:c r="V99" s="163"/>
      <x:c r="W99" s="163"/>
      <x:c r="X99" s="163"/>
      <x:c r="Y99" s="163"/>
      <x:c r="Z99" s="163"/>
    </x:row>
    <x:row r="100" ht="15" hidden="0" customHeight="1">
      <x:c r="A100" s="163"/>
      <x:c r="B100" s="163"/>
      <x:c r="C100" s="163"/>
      <x:c r="D100" s="163"/>
      <x:c r="E100" s="163"/>
      <x:c r="F100" s="163"/>
      <x:c r="G100" s="163"/>
      <x:c r="H100" s="163"/>
      <x:c r="I100" s="163"/>
      <x:c r="J100" s="163"/>
      <x:c r="K100" s="163"/>
      <x:c r="L100" s="163"/>
      <x:c r="M100" s="163"/>
      <x:c r="N100" s="163"/>
      <x:c r="O100" s="163"/>
      <x:c r="P100" s="163"/>
      <x:c r="Q100" s="163"/>
      <x:c r="R100" s="163"/>
      <x:c r="S100" s="163"/>
      <x:c r="T100" s="163"/>
      <x:c r="U100" s="163"/>
      <x:c r="V100" s="163"/>
      <x:c r="W100" s="163"/>
      <x:c r="X100" s="163"/>
      <x:c r="Y100" s="163"/>
      <x:c r="Z100" s="163"/>
    </x:row>
  </x:sheetData>
  <x:mergeCells>
    <x:mergeCell ref="A1:H1"/>
    <x:mergeCell ref="A2:H2"/>
    <x:mergeCell ref="A4:D4"/>
    <x:mergeCell ref="A13:H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58" hidden="0" customWidth="1"/>
    <x:col min="4" max="4" width="42" hidden="0" customWidth="1"/>
  </x:cols>
  <x:sheetData>
    <x:row r="1" ht="15" hidden="0" customHeight="1">
      <x:c r="A1" s="6" t="str">
        <x:v>ID</x:v>
      </x:c>
      <x:c r="B1" s="6" t="str">
        <x:v>Source / fact</x:v>
      </x:c>
      <x:c r="C1" s="6" t="str">
        <x:v>URL</x:v>
      </x:c>
      <x:c r="D1" s="6" t="str">
        <x:v>Use in model</x:v>
      </x:c>
      <x:c r="E1" s="163"/>
      <x:c r="F1" s="163"/>
      <x:c r="G1" s="163"/>
      <x:c r="H1" s="163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  <x:c r="V1" s="163"/>
      <x:c r="W1" s="163"/>
      <x:c r="X1" s="163"/>
      <x:c r="Y1" s="163"/>
      <x:c r="Z1" s="163"/>
    </x:row>
    <x:row r="2" ht="26.399999618530273" hidden="0" customHeight="1">
      <x:c r="A2" s="172" t="str">
        <x:v>S1</x:v>
      </x:c>
      <x:c r="B2" s="165" t="str">
        <x:v>Bank of America Mumbai GIB role (JR-14534)</x:v>
      </x:c>
      <x:c r="C2" s="165" t="str">
        <x:v>https://careers.bankofamerica.com/en-us/students/job-detail/14534/global-investment-banking-summer-analyst-2027-mumbai-mumbai-india</x:v>
      </x:c>
      <x:c r="D2" s="165" t="str">
        <x:v>Role requirements: models, valuation, merger consequences, research, client materials</x:v>
      </x:c>
      <x:c r="E2" s="163"/>
      <x:c r="F2" s="163"/>
      <x:c r="G2" s="163"/>
      <x:c r="H2" s="163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  <x:c r="V2" s="163"/>
      <x:c r="W2" s="163"/>
      <x:c r="X2" s="163"/>
      <x:c r="Y2" s="163"/>
      <x:c r="Z2" s="163"/>
    </x:row>
    <x:row r="3" ht="39.599998474121094" hidden="0" customHeight="1">
      <x:c r="A3" s="172" t="str">
        <x:v>S2</x:v>
      </x:c>
      <x:c r="B3" s="165" t="str">
        <x:v>Baker Hughes acquisition announcement (Jul 29, 2025)</x:v>
      </x:c>
      <x:c r="C3" s="165" t="str">
        <x:v>https://investors.bakerhughes.com/news/press-releases/news-details/2025/Baker-Hughes-to-Acquire-Chart-Industries-Accelerating-Energy-Industrial-Technology-Strategy-07-29-2025/default.aspx</x:v>
      </x:c>
      <x:c r="D3" s="165" t="str">
        <x:v>$210/share, $13.6bn EV, $325m synergies, financing / leverage targets</x:v>
      </x:c>
      <x:c r="E3" s="163"/>
      <x:c r="F3" s="163"/>
      <x:c r="G3" s="163"/>
      <x:c r="H3" s="163"/>
      <x:c r="I3" s="163"/>
      <x:c r="J3" s="163"/>
      <x:c r="K3" s="163"/>
      <x:c r="L3" s="163"/>
      <x:c r="M3" s="163"/>
      <x:c r="N3" s="163"/>
      <x:c r="O3" s="163"/>
      <x:c r="P3" s="163"/>
      <x:c r="Q3" s="163"/>
      <x:c r="R3" s="163"/>
      <x:c r="S3" s="163"/>
      <x:c r="T3" s="163"/>
      <x:c r="U3" s="163"/>
      <x:c r="V3" s="163"/>
      <x:c r="W3" s="163"/>
      <x:c r="X3" s="163"/>
      <x:c r="Y3" s="163"/>
      <x:c r="Z3" s="163"/>
    </x:row>
    <x:row r="4" ht="39.599998474121094" hidden="0" customHeight="1">
      <x:c r="A4" s="172" t="str">
        <x:v>S3</x:v>
      </x:c>
      <x:c r="B4" s="165" t="str">
        <x:v>Chart merger proxy / Wells Fargo fairness analysis</x:v>
      </x:c>
      <x:c r="C4" s="165" t="str">
        <x:v>https://www.sec.gov/Archives/edgar/data/892553/000119312525191284/d52397dprem14a.htm</x:v>
      </x:c>
      <x:c r="D4" s="165" t="str">
        <x:v>Management projections, selected peers, selected transactions, banker valuation ranges, $10.1bn equity value</x:v>
      </x:c>
      <x:c r="E4" s="163"/>
      <x:c r="F4" s="163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3"/>
      <x:c r="S4" s="163"/>
      <x:c r="T4" s="163"/>
      <x:c r="U4" s="163"/>
      <x:c r="V4" s="163"/>
      <x:c r="W4" s="163"/>
      <x:c r="X4" s="163"/>
      <x:c r="Y4" s="163"/>
      <x:c r="Z4" s="163"/>
    </x:row>
    <x:row r="5" ht="26.399999618530273" hidden="0" customHeight="1">
      <x:c r="A5" s="172" t="str">
        <x:v>S4</x:v>
      </x:c>
      <x:c r="B5" s="165" t="str">
        <x:v>Chart Industries 2024 Form 10-K</x:v>
      </x:c>
      <x:c r="C5" s="165" t="str">
        <x:v>https://www.sec.gov/Archives/edgar/data/892553/000089255325000039/gtls-20241231.htm</x:v>
      </x:c>
      <x:c r="D5" s="165" t="str">
        <x:v>2024 historical income statement, D&amp;A, CapEx, balance sheet / NWC inputs</x:v>
      </x:c>
      <x:c r="E5" s="163"/>
      <x:c r="F5" s="163"/>
      <x:c r="G5" s="163"/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</x:row>
    <x:row r="6" ht="26.399999618530273" hidden="0" customHeight="1">
      <x:c r="A6" s="172" t="str">
        <x:v>S5</x:v>
      </x:c>
      <x:c r="B6" s="165" t="str">
        <x:v>Baker Hughes 2025 Form 10-K</x:v>
      </x:c>
      <x:c r="C6" s="165" t="str">
        <x:v>https://www.sec.gov/Archives/edgar/data/1701605/000170160526000007/bkr-20251231.htm</x:v>
      </x:c>
      <x:c r="D6" s="165" t="str">
        <x:v>2025 net income, diluted shares / EPS</x:v>
      </x:c>
      <x:c r="E6" s="163"/>
      <x:c r="F6" s="163"/>
      <x:c r="G6" s="163"/>
      <x:c r="H6" s="163"/>
      <x:c r="I6" s="163"/>
      <x:c r="J6" s="163"/>
      <x:c r="K6" s="163"/>
      <x:c r="L6" s="163"/>
      <x:c r="M6" s="163"/>
      <x:c r="N6" s="163"/>
      <x:c r="O6" s="163"/>
      <x:c r="P6" s="163"/>
      <x:c r="Q6" s="163"/>
      <x:c r="R6" s="163"/>
      <x:c r="S6" s="163"/>
      <x:c r="T6" s="163"/>
      <x:c r="U6" s="163"/>
      <x:c r="V6" s="163"/>
      <x:c r="W6" s="163"/>
      <x:c r="X6" s="163"/>
      <x:c r="Y6" s="163"/>
      <x:c r="Z6" s="163"/>
    </x:row>
    <x:row r="7" ht="26.399999618530273" hidden="0" customHeight="1">
      <x:c r="A7" s="172" t="str">
        <x:v>S6</x:v>
      </x:c>
      <x:c r="B7" s="165" t="str">
        <x:v>Baker Hughes Q2 2026 Form 10-Q</x:v>
      </x:c>
      <x:c r="C7" s="165" t="str">
        <x:v>https://www.sec.gov/Archives/edgar/data/1701605/000170160526000023/bkr-20260630.htm</x:v>
      </x:c>
      <x:c r="D7" s="165" t="str">
        <x:v>Transaction close, financing structure, notes + term loans, cash held for acquisition</x:v>
      </x:c>
      <x:c r="E7" s="163"/>
      <x:c r="F7" s="163"/>
      <x:c r="G7" s="163"/>
      <x:c r="H7" s="163"/>
      <x:c r="I7" s="163"/>
      <x:c r="J7" s="163"/>
      <x:c r="K7" s="163"/>
      <x:c r="L7" s="163"/>
      <x:c r="M7" s="163"/>
      <x:c r="N7" s="163"/>
      <x:c r="O7" s="163"/>
      <x:c r="P7" s="163"/>
      <x:c r="Q7" s="163"/>
      <x:c r="R7" s="163"/>
      <x:c r="S7" s="163"/>
      <x:c r="T7" s="163"/>
      <x:c r="U7" s="163"/>
      <x:c r="V7" s="163"/>
      <x:c r="W7" s="163"/>
      <x:c r="X7" s="163"/>
      <x:c r="Y7" s="163"/>
      <x:c r="Z7" s="163"/>
    </x:row>
    <x:row r="8" ht="26.399999618530273" hidden="0" customHeight="1">
      <x:c r="A8" s="172" t="str">
        <x:v>S7</x:v>
      </x:c>
      <x:c r="B8" s="165" t="str">
        <x:v>Baker Hughes acquisition completion (Jul 16, 2026)</x:v>
      </x:c>
      <x:c r="C8" s="165" t="str">
        <x:v>https://investors.bakerhughes.com/news/press-releases/news-details/2026/Baker-Hughes-Completes-Acquisition-of-Chart-Industries/default.aspx</x:v>
      </x:c>
      <x:c r="D8" s="165" t="str">
        <x:v>Transaction closed; synergy target reiterated</x:v>
      </x:c>
      <x:c r="E8" s="163"/>
      <x:c r="F8" s="163"/>
      <x:c r="G8" s="163"/>
      <x:c r="H8" s="163"/>
      <x:c r="I8" s="163"/>
      <x:c r="J8" s="163"/>
      <x:c r="K8" s="163"/>
      <x:c r="L8" s="163"/>
      <x:c r="M8" s="163"/>
      <x:c r="N8" s="163"/>
      <x:c r="O8" s="163"/>
      <x:c r="P8" s="163"/>
      <x:c r="Q8" s="163"/>
      <x:c r="R8" s="163"/>
      <x:c r="S8" s="163"/>
      <x:c r="T8" s="163"/>
      <x:c r="U8" s="163"/>
      <x:c r="V8" s="163"/>
      <x:c r="W8" s="163"/>
      <x:c r="X8" s="163"/>
      <x:c r="Y8" s="163"/>
      <x:c r="Z8" s="163"/>
    </x:row>
    <x:row r="9" ht="15" hidden="0" customHeight="1">
      <x:c r="A9" s="163"/>
      <x:c r="B9" s="163"/>
      <x:c r="C9" s="163"/>
      <x:c r="D9" s="163"/>
      <x:c r="E9" s="163"/>
      <x:c r="F9" s="163"/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3"/>
      <x:c r="T9" s="163"/>
      <x:c r="U9" s="163"/>
      <x:c r="V9" s="163"/>
      <x:c r="W9" s="163"/>
      <x:c r="X9" s="163"/>
      <x:c r="Y9" s="163"/>
      <x:c r="Z9" s="163"/>
    </x:row>
    <x:row r="10" ht="15" hidden="0" customHeight="1">
      <x:c r="A10" s="163"/>
      <x:c r="B10" s="163"/>
      <x:c r="C10" s="163"/>
      <x:c r="D10" s="163"/>
      <x:c r="E10" s="163"/>
      <x:c r="F10" s="163"/>
      <x:c r="G10" s="163"/>
      <x:c r="H10" s="163"/>
      <x:c r="I10" s="163"/>
      <x:c r="J10" s="163"/>
      <x:c r="K10" s="163"/>
      <x:c r="L10" s="163"/>
      <x:c r="M10" s="163"/>
      <x:c r="N10" s="163"/>
      <x:c r="O10" s="163"/>
      <x:c r="P10" s="163"/>
      <x:c r="Q10" s="163"/>
      <x:c r="R10" s="163"/>
      <x:c r="S10" s="163"/>
      <x:c r="T10" s="163"/>
      <x:c r="U10" s="163"/>
      <x:c r="V10" s="163"/>
      <x:c r="W10" s="163"/>
      <x:c r="X10" s="163"/>
      <x:c r="Y10" s="163"/>
      <x:c r="Z10" s="163"/>
    </x:row>
    <x:row r="11" ht="15" hidden="0" customHeight="1">
      <x:c r="A11" s="163"/>
      <x:c r="B11" s="163"/>
      <x:c r="C11" s="163"/>
      <x:c r="D11" s="163"/>
      <x:c r="E11" s="163"/>
      <x:c r="F11" s="163"/>
      <x:c r="G11" s="163"/>
      <x:c r="H11" s="163"/>
      <x:c r="I11" s="163"/>
      <x:c r="J11" s="163"/>
      <x:c r="K11" s="163"/>
      <x:c r="L11" s="163"/>
      <x:c r="M11" s="163"/>
      <x:c r="N11" s="163"/>
      <x:c r="O11" s="163"/>
      <x:c r="P11" s="163"/>
      <x:c r="Q11" s="163"/>
      <x:c r="R11" s="163"/>
      <x:c r="S11" s="163"/>
      <x:c r="T11" s="163"/>
      <x:c r="U11" s="163"/>
      <x:c r="V11" s="163"/>
      <x:c r="W11" s="163"/>
      <x:c r="X11" s="163"/>
      <x:c r="Y11" s="163"/>
      <x:c r="Z11" s="163"/>
    </x:row>
    <x:row r="12" ht="15" hidden="0" customHeight="1">
      <x:c r="A12" s="163"/>
      <x:c r="B12" s="163"/>
      <x:c r="C12" s="163"/>
      <x:c r="D12" s="163"/>
      <x:c r="E12" s="163"/>
      <x:c r="F12" s="163"/>
      <x:c r="G12" s="163"/>
      <x:c r="H12" s="163"/>
      <x:c r="I12" s="163"/>
      <x:c r="J12" s="163"/>
      <x:c r="K12" s="163"/>
      <x:c r="L12" s="163"/>
      <x:c r="M12" s="163"/>
      <x:c r="N12" s="163"/>
      <x:c r="O12" s="163"/>
      <x:c r="P12" s="163"/>
      <x:c r="Q12" s="163"/>
      <x:c r="R12" s="163"/>
      <x:c r="S12" s="163"/>
      <x:c r="T12" s="163"/>
      <x:c r="U12" s="163"/>
      <x:c r="V12" s="163"/>
      <x:c r="W12" s="163"/>
      <x:c r="X12" s="163"/>
      <x:c r="Y12" s="163"/>
      <x:c r="Z12" s="163"/>
    </x:row>
    <x:row r="13" ht="15" hidden="0" customHeight="1">
      <x:c r="A13" s="163"/>
      <x:c r="B13" s="163"/>
      <x:c r="C13" s="163"/>
      <x:c r="D13" s="163"/>
      <x:c r="E13" s="163"/>
      <x:c r="F13" s="163"/>
      <x:c r="G13" s="163"/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  <x:c r="V13" s="163"/>
      <x:c r="W13" s="163"/>
      <x:c r="X13" s="163"/>
      <x:c r="Y13" s="163"/>
      <x:c r="Z13" s="163"/>
    </x:row>
    <x:row r="14" ht="15" hidden="0" customHeight="1">
      <x:c r="A14" s="163"/>
      <x:c r="B14" s="163"/>
      <x:c r="C14" s="163"/>
      <x:c r="D14" s="163"/>
      <x:c r="E14" s="163"/>
      <x:c r="F14" s="163"/>
      <x:c r="G14" s="163"/>
      <x:c r="H14" s="163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63"/>
      <x:c r="S14" s="163"/>
      <x:c r="T14" s="163"/>
      <x:c r="U14" s="163"/>
      <x:c r="V14" s="163"/>
      <x:c r="W14" s="163"/>
      <x:c r="X14" s="163"/>
      <x:c r="Y14" s="163"/>
      <x:c r="Z14" s="163"/>
    </x:row>
    <x:row r="15" ht="15" hidden="0" customHeight="1">
      <x:c r="A15" s="163"/>
      <x:c r="B15" s="163"/>
      <x:c r="C15" s="163"/>
      <x:c r="D15" s="163"/>
      <x:c r="E15" s="163"/>
      <x:c r="F15" s="163"/>
      <x:c r="G15" s="163"/>
      <x:c r="H15" s="163"/>
      <x:c r="I15" s="163"/>
      <x:c r="J15" s="163"/>
      <x:c r="K15" s="163"/>
      <x:c r="L15" s="163"/>
      <x:c r="M15" s="163"/>
      <x:c r="N15" s="163"/>
      <x:c r="O15" s="163"/>
      <x:c r="P15" s="163"/>
      <x:c r="Q15" s="163"/>
      <x:c r="R15" s="163"/>
      <x:c r="S15" s="163"/>
      <x:c r="T15" s="163"/>
      <x:c r="U15" s="163"/>
      <x:c r="V15" s="163"/>
      <x:c r="W15" s="163"/>
      <x:c r="X15" s="163"/>
      <x:c r="Y15" s="163"/>
      <x:c r="Z15" s="163"/>
    </x:row>
    <x:row r="16" ht="15" hidden="0" customHeight="1">
      <x:c r="A16" s="163"/>
      <x:c r="B16" s="163"/>
      <x:c r="C16" s="163"/>
      <x:c r="D16" s="163"/>
      <x:c r="E16" s="163"/>
      <x:c r="F16" s="163"/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</x:row>
    <x:row r="17" ht="15" hidden="0" customHeight="1">
      <x:c r="A17" s="163"/>
      <x:c r="B17" s="163"/>
      <x:c r="C17" s="163"/>
      <x:c r="D17" s="163"/>
      <x:c r="E17" s="163"/>
      <x:c r="F17" s="163"/>
      <x:c r="G17" s="163"/>
      <x:c r="H17" s="163"/>
      <x:c r="I17" s="163"/>
      <x:c r="J17" s="163"/>
      <x:c r="K17" s="163"/>
      <x:c r="L17" s="163"/>
      <x:c r="M17" s="163"/>
      <x:c r="N17" s="163"/>
      <x:c r="O17" s="163"/>
      <x:c r="P17" s="163"/>
      <x:c r="Q17" s="163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5" hidden="0" customHeight="1">
      <x:c r="A18" s="163"/>
      <x:c r="B18" s="163"/>
      <x:c r="C18" s="163"/>
      <x:c r="D18" s="163"/>
      <x:c r="E18" s="163"/>
      <x:c r="F18" s="163"/>
      <x:c r="G18" s="163"/>
      <x:c r="H18" s="163"/>
      <x:c r="I18" s="163"/>
      <x:c r="J18" s="163"/>
      <x:c r="K18" s="163"/>
      <x:c r="L18" s="163"/>
      <x:c r="M18" s="163"/>
      <x:c r="N18" s="163"/>
      <x:c r="O18" s="163"/>
      <x:c r="P18" s="163"/>
      <x:c r="Q18" s="163"/>
      <x:c r="R18" s="163"/>
      <x:c r="S18" s="163"/>
      <x:c r="T18" s="163"/>
      <x:c r="U18" s="163"/>
      <x:c r="V18" s="163"/>
      <x:c r="W18" s="163"/>
      <x:c r="X18" s="163"/>
      <x:c r="Y18" s="163"/>
      <x:c r="Z18" s="163"/>
    </x:row>
    <x:row r="19" ht="15" hidden="0" customHeight="1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  <x:c r="V19" s="163"/>
      <x:c r="W19" s="163"/>
      <x:c r="X19" s="163"/>
      <x:c r="Y19" s="163"/>
      <x:c r="Z19" s="163"/>
    </x:row>
    <x:row r="20" ht="15" hidden="0" customHeight="1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  <x:c r="V20" s="163"/>
      <x:c r="W20" s="163"/>
      <x:c r="X20" s="163"/>
      <x:c r="Y20" s="163"/>
      <x:c r="Z20" s="163"/>
    </x:row>
    <x:row r="21" ht="15" hidden="0" customHeight="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  <x:c r="V21" s="163"/>
      <x:c r="W21" s="163"/>
      <x:c r="X21" s="163"/>
      <x:c r="Y21" s="163"/>
      <x:c r="Z21" s="163"/>
    </x:row>
    <x:row r="22" ht="15" hidden="0" customHeight="1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  <x:c r="V22" s="163"/>
      <x:c r="W22" s="163"/>
      <x:c r="X22" s="163"/>
      <x:c r="Y22" s="163"/>
      <x:c r="Z22" s="163"/>
    </x:row>
    <x:row r="23" ht="15" hidden="0" customHeight="1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  <x:c r="V23" s="163"/>
      <x:c r="W23" s="163"/>
      <x:c r="X23" s="163"/>
      <x:c r="Y23" s="163"/>
      <x:c r="Z23" s="163"/>
    </x:row>
    <x:row r="24" ht="15" hidden="0" customHeight="1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  <x:c r="V24" s="163"/>
      <x:c r="W24" s="163"/>
      <x:c r="X24" s="163"/>
      <x:c r="Y24" s="163"/>
      <x:c r="Z24" s="163"/>
    </x:row>
    <x:row r="25" ht="15" hidden="0" customHeight="1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  <x:c r="V25" s="163"/>
      <x:c r="W25" s="163"/>
      <x:c r="X25" s="163"/>
      <x:c r="Y25" s="163"/>
      <x:c r="Z25" s="163"/>
    </x:row>
    <x:row r="26" ht="15" hidden="0" customHeight="1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  <x:c r="V26" s="163"/>
      <x:c r="W26" s="163"/>
      <x:c r="X26" s="163"/>
      <x:c r="Y26" s="163"/>
      <x:c r="Z26" s="163"/>
    </x:row>
    <x:row r="27" ht="15" hidden="0" customHeight="1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  <x:c r="V27" s="163"/>
      <x:c r="W27" s="163"/>
      <x:c r="X27" s="163"/>
      <x:c r="Y27" s="163"/>
      <x:c r="Z27" s="163"/>
    </x:row>
    <x:row r="28" ht="15" hidden="0" customHeight="1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  <x:c r="V28" s="163"/>
      <x:c r="W28" s="163"/>
      <x:c r="X28" s="163"/>
      <x:c r="Y28" s="163"/>
      <x:c r="Z28" s="163"/>
    </x:row>
    <x:row r="29" ht="15" hidden="0" customHeight="1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  <x:c r="V29" s="163"/>
      <x:c r="W29" s="163"/>
      <x:c r="X29" s="163"/>
      <x:c r="Y29" s="163"/>
      <x:c r="Z29" s="163"/>
    </x:row>
    <x:row r="30" ht="15" hidden="0" customHeight="1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63"/>
      <x:c r="W30" s="163"/>
      <x:c r="X30" s="163"/>
      <x:c r="Y30" s="163"/>
      <x:c r="Z30" s="163"/>
    </x:row>
    <x:row r="31" ht="15" hidden="0" customHeight="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63"/>
      <x:c r="W31" s="163"/>
      <x:c r="X31" s="163"/>
      <x:c r="Y31" s="163"/>
      <x:c r="Z31" s="163"/>
    </x:row>
    <x:row r="32" ht="15" hidden="0" customHeight="1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  <x:c r="V32" s="163"/>
      <x:c r="W32" s="163"/>
      <x:c r="X32" s="163"/>
      <x:c r="Y32" s="163"/>
      <x:c r="Z32" s="163"/>
    </x:row>
    <x:row r="33" ht="15" hidden="0" customHeight="1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  <x:c r="V33" s="163"/>
      <x:c r="W33" s="163"/>
      <x:c r="X33" s="163"/>
      <x:c r="Y33" s="163"/>
      <x:c r="Z33" s="163"/>
    </x:row>
    <x:row r="34" ht="15" hidden="0" customHeight="1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  <x:c r="V34" s="163"/>
      <x:c r="W34" s="163"/>
      <x:c r="X34" s="163"/>
      <x:c r="Y34" s="163"/>
      <x:c r="Z34" s="163"/>
    </x:row>
    <x:row r="35" ht="15" hidden="0" customHeight="1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  <x:c r="V35" s="163"/>
      <x:c r="W35" s="163"/>
      <x:c r="X35" s="163"/>
      <x:c r="Y35" s="163"/>
      <x:c r="Z35" s="163"/>
    </x:row>
    <x:row r="36" ht="15" hidden="0" customHeight="1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  <x:c r="V36" s="163"/>
      <x:c r="W36" s="163"/>
      <x:c r="X36" s="163"/>
      <x:c r="Y36" s="163"/>
      <x:c r="Z36" s="163"/>
    </x:row>
    <x:row r="37" ht="15" hidden="0" customHeight="1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  <x:c r="V37" s="163"/>
      <x:c r="W37" s="163"/>
      <x:c r="X37" s="163"/>
      <x:c r="Y37" s="163"/>
      <x:c r="Z37" s="163"/>
    </x:row>
    <x:row r="38" ht="15" hidden="0" customHeight="1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  <x:c r="V38" s="163"/>
      <x:c r="W38" s="163"/>
      <x:c r="X38" s="163"/>
      <x:c r="Y38" s="163"/>
      <x:c r="Z38" s="163"/>
    </x:row>
    <x:row r="39" ht="15" hidden="0" customHeight="1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  <x:c r="V39" s="163"/>
      <x:c r="W39" s="163"/>
      <x:c r="X39" s="163"/>
      <x:c r="Y39" s="163"/>
      <x:c r="Z39" s="163"/>
    </x:row>
    <x:row r="40" ht="15" hidden="0" customHeight="1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  <x:c r="V40" s="163"/>
      <x:c r="W40" s="163"/>
      <x:c r="X40" s="163"/>
      <x:c r="Y40" s="163"/>
      <x:c r="Z40" s="163"/>
    </x:row>
    <x:row r="41" ht="15" hidden="0" customHeight="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  <x:c r="V41" s="163"/>
      <x:c r="W41" s="163"/>
      <x:c r="X41" s="163"/>
      <x:c r="Y41" s="163"/>
      <x:c r="Z41" s="163"/>
    </x:row>
    <x:row r="42" ht="15" hidden="0" customHeight="1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  <x:c r="V42" s="163"/>
      <x:c r="W42" s="163"/>
      <x:c r="X42" s="163"/>
      <x:c r="Y42" s="163"/>
      <x:c r="Z42" s="163"/>
    </x:row>
    <x:row r="43" ht="15" hidden="0" customHeight="1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  <x:c r="V43" s="163"/>
      <x:c r="W43" s="163"/>
      <x:c r="X43" s="163"/>
      <x:c r="Y43" s="163"/>
      <x:c r="Z43" s="163"/>
    </x:row>
    <x:row r="44" ht="15" hidden="0" customHeight="1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  <x:c r="V44" s="163"/>
      <x:c r="W44" s="163"/>
      <x:c r="X44" s="163"/>
      <x:c r="Y44" s="163"/>
      <x:c r="Z44" s="163"/>
    </x:row>
    <x:row r="45" ht="15" hidden="0" customHeight="1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  <x:c r="V45" s="163"/>
      <x:c r="W45" s="163"/>
      <x:c r="X45" s="163"/>
      <x:c r="Y45" s="163"/>
      <x:c r="Z45" s="163"/>
    </x:row>
    <x:row r="46" ht="15" hidden="0" customHeight="1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  <x:c r="V46" s="163"/>
      <x:c r="W46" s="163"/>
      <x:c r="X46" s="163"/>
      <x:c r="Y46" s="163"/>
      <x:c r="Z46" s="163"/>
    </x:row>
    <x:row r="47" ht="15" hidden="0" customHeight="1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  <x:c r="V47" s="163"/>
      <x:c r="W47" s="163"/>
      <x:c r="X47" s="163"/>
      <x:c r="Y47" s="163"/>
      <x:c r="Z47" s="163"/>
    </x:row>
    <x:row r="48" ht="15" hidden="0" customHeight="1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  <x:c r="V48" s="163"/>
      <x:c r="W48" s="163"/>
      <x:c r="X48" s="163"/>
      <x:c r="Y48" s="163"/>
      <x:c r="Z48" s="163"/>
    </x:row>
    <x:row r="49" ht="15" hidden="0" customHeight="1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  <x:c r="V49" s="163"/>
      <x:c r="W49" s="163"/>
      <x:c r="X49" s="163"/>
      <x:c r="Y49" s="163"/>
      <x:c r="Z49" s="163"/>
    </x:row>
    <x:row r="50" ht="15" hidden="0" customHeight="1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  <x:c r="V50" s="163"/>
      <x:c r="W50" s="163"/>
      <x:c r="X50" s="163"/>
      <x:c r="Y50" s="163"/>
      <x:c r="Z50" s="163"/>
    </x:row>
    <x:row r="51" ht="15" hidden="0" customHeight="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  <x:c r="V51" s="163"/>
      <x:c r="W51" s="163"/>
      <x:c r="X51" s="163"/>
      <x:c r="Y51" s="163"/>
      <x:c r="Z51" s="163"/>
    </x:row>
    <x:row r="52" ht="15" hidden="0" customHeight="1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  <x:c r="V52" s="163"/>
      <x:c r="W52" s="163"/>
      <x:c r="X52" s="163"/>
      <x:c r="Y52" s="163"/>
      <x:c r="Z52" s="163"/>
    </x:row>
    <x:row r="53" ht="15" hidden="0" customHeight="1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  <x:c r="V53" s="163"/>
      <x:c r="W53" s="163"/>
      <x:c r="X53" s="163"/>
      <x:c r="Y53" s="163"/>
      <x:c r="Z53" s="163"/>
    </x:row>
    <x:row r="54" ht="15" hidden="0" customHeight="1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  <x:c r="V54" s="163"/>
      <x:c r="W54" s="163"/>
      <x:c r="X54" s="163"/>
      <x:c r="Y54" s="163"/>
      <x:c r="Z54" s="163"/>
    </x:row>
    <x:row r="55" ht="15" hidden="0" customHeight="1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  <x:c r="V55" s="163"/>
      <x:c r="W55" s="163"/>
      <x:c r="X55" s="163"/>
      <x:c r="Y55" s="163"/>
      <x:c r="Z55" s="163"/>
    </x:row>
    <x:row r="56" ht="15" hidden="0" customHeight="1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  <x:c r="V56" s="163"/>
      <x:c r="W56" s="163"/>
      <x:c r="X56" s="163"/>
      <x:c r="Y56" s="163"/>
      <x:c r="Z56" s="163"/>
    </x:row>
    <x:row r="57" ht="15" hidden="0" customHeight="1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  <x:c r="V57" s="163"/>
      <x:c r="W57" s="163"/>
      <x:c r="X57" s="163"/>
      <x:c r="Y57" s="163"/>
      <x:c r="Z57" s="163"/>
    </x:row>
    <x:row r="58" ht="15" hidden="0" customHeight="1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  <x:c r="V58" s="163"/>
      <x:c r="W58" s="163"/>
      <x:c r="X58" s="163"/>
      <x:c r="Y58" s="163"/>
      <x:c r="Z58" s="163"/>
    </x:row>
    <x:row r="59" ht="15" hidden="0" customHeight="1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  <x:c r="V59" s="163"/>
      <x:c r="W59" s="163"/>
      <x:c r="X59" s="163"/>
      <x:c r="Y59" s="163"/>
      <x:c r="Z59" s="163"/>
    </x:row>
    <x:row r="60" ht="15" hidden="0" customHeight="1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  <x:c r="V60" s="163"/>
      <x:c r="W60" s="163"/>
      <x:c r="X60" s="163"/>
      <x:c r="Y60" s="163"/>
      <x:c r="Z60" s="163"/>
    </x:row>
    <x:row r="61" ht="15" hidden="0" customHeight="1">
      <x:c r="A61" s="163"/>
      <x:c r="B61" s="163"/>
      <x:c r="C61" s="163"/>
      <x:c r="D61" s="163"/>
      <x:c r="E61" s="163"/>
      <x:c r="F61" s="163"/>
      <x:c r="G61" s="163"/>
      <x:c r="H61" s="163"/>
      <x:c r="I61" s="163"/>
      <x:c r="J61" s="163"/>
      <x:c r="K61" s="163"/>
      <x:c r="L61" s="163"/>
      <x:c r="M61" s="163"/>
      <x:c r="N61" s="163"/>
      <x:c r="O61" s="163"/>
      <x:c r="P61" s="163"/>
      <x:c r="Q61" s="163"/>
      <x:c r="R61" s="163"/>
      <x:c r="S61" s="163"/>
      <x:c r="T61" s="163"/>
      <x:c r="U61" s="163"/>
      <x:c r="V61" s="163"/>
      <x:c r="W61" s="163"/>
      <x:c r="X61" s="163"/>
      <x:c r="Y61" s="163"/>
      <x:c r="Z61" s="163"/>
    </x:row>
    <x:row r="62" ht="15" hidden="0" customHeight="1">
      <x:c r="A62" s="163"/>
      <x:c r="B62" s="163"/>
      <x:c r="C62" s="163"/>
      <x:c r="D62" s="163"/>
      <x:c r="E62" s="163"/>
      <x:c r="F62" s="163"/>
      <x:c r="G62" s="163"/>
      <x:c r="H62" s="163"/>
      <x:c r="I62" s="163"/>
      <x:c r="J62" s="163"/>
      <x:c r="K62" s="163"/>
      <x:c r="L62" s="163"/>
      <x:c r="M62" s="163"/>
      <x:c r="N62" s="163"/>
      <x:c r="O62" s="163"/>
      <x:c r="P62" s="163"/>
      <x:c r="Q62" s="163"/>
      <x:c r="R62" s="163"/>
      <x:c r="S62" s="163"/>
      <x:c r="T62" s="163"/>
      <x:c r="U62" s="163"/>
      <x:c r="V62" s="163"/>
      <x:c r="W62" s="163"/>
      <x:c r="X62" s="163"/>
      <x:c r="Y62" s="163"/>
      <x:c r="Z62" s="163"/>
    </x:row>
    <x:row r="63" ht="15" hidden="0" customHeight="1">
      <x:c r="A63" s="163"/>
      <x:c r="B63" s="163"/>
      <x:c r="C63" s="163"/>
      <x:c r="D63" s="163"/>
      <x:c r="E63" s="163"/>
      <x:c r="F63" s="163"/>
      <x:c r="G63" s="163"/>
      <x:c r="H63" s="163"/>
      <x:c r="I63" s="163"/>
      <x:c r="J63" s="163"/>
      <x:c r="K63" s="163"/>
      <x:c r="L63" s="163"/>
      <x:c r="M63" s="163"/>
      <x:c r="N63" s="163"/>
      <x:c r="O63" s="163"/>
      <x:c r="P63" s="163"/>
      <x:c r="Q63" s="163"/>
      <x:c r="R63" s="163"/>
      <x:c r="S63" s="163"/>
      <x:c r="T63" s="163"/>
      <x:c r="U63" s="163"/>
      <x:c r="V63" s="163"/>
      <x:c r="W63" s="163"/>
      <x:c r="X63" s="163"/>
      <x:c r="Y63" s="163"/>
      <x:c r="Z63" s="163"/>
    </x:row>
    <x:row r="64" ht="15" hidden="0" customHeight="1">
      <x:c r="A64" s="163"/>
      <x:c r="B64" s="163"/>
      <x:c r="C64" s="163"/>
      <x:c r="D64" s="163"/>
      <x:c r="E64" s="163"/>
      <x:c r="F64" s="163"/>
      <x:c r="G64" s="163"/>
      <x:c r="H64" s="163"/>
      <x:c r="I64" s="163"/>
      <x:c r="J64" s="163"/>
      <x:c r="K64" s="163"/>
      <x:c r="L64" s="163"/>
      <x:c r="M64" s="163"/>
      <x:c r="N64" s="163"/>
      <x:c r="O64" s="163"/>
      <x:c r="P64" s="163"/>
      <x:c r="Q64" s="163"/>
      <x:c r="R64" s="163"/>
      <x:c r="S64" s="163"/>
      <x:c r="T64" s="163"/>
      <x:c r="U64" s="163"/>
      <x:c r="V64" s="163"/>
      <x:c r="W64" s="163"/>
      <x:c r="X64" s="163"/>
      <x:c r="Y64" s="163"/>
      <x:c r="Z64" s="163"/>
    </x:row>
    <x:row r="65" ht="15" hidden="0" customHeight="1">
      <x:c r="A65" s="163"/>
      <x:c r="B65" s="163"/>
      <x:c r="C65" s="163"/>
      <x:c r="D65" s="163"/>
      <x:c r="E65" s="163"/>
      <x:c r="F65" s="163"/>
      <x:c r="G65" s="163"/>
      <x:c r="H65" s="163"/>
      <x:c r="I65" s="163"/>
      <x:c r="J65" s="163"/>
      <x:c r="K65" s="163"/>
      <x:c r="L65" s="163"/>
      <x:c r="M65" s="163"/>
      <x:c r="N65" s="163"/>
      <x:c r="O65" s="163"/>
      <x:c r="P65" s="163"/>
      <x:c r="Q65" s="163"/>
      <x:c r="R65" s="163"/>
      <x:c r="S65" s="163"/>
      <x:c r="T65" s="163"/>
      <x:c r="U65" s="163"/>
      <x:c r="V65" s="163"/>
      <x:c r="W65" s="163"/>
      <x:c r="X65" s="163"/>
      <x:c r="Y65" s="163"/>
      <x:c r="Z65" s="163"/>
    </x:row>
    <x:row r="66" ht="15" hidden="0" customHeight="1">
      <x:c r="A66" s="163"/>
      <x:c r="B66" s="163"/>
      <x:c r="C66" s="163"/>
      <x:c r="D66" s="163"/>
      <x:c r="E66" s="163"/>
      <x:c r="F66" s="163"/>
      <x:c r="G66" s="163"/>
      <x:c r="H66" s="163"/>
      <x:c r="I66" s="163"/>
      <x:c r="J66" s="163"/>
      <x:c r="K66" s="163"/>
      <x:c r="L66" s="163"/>
      <x:c r="M66" s="163"/>
      <x:c r="N66" s="163"/>
      <x:c r="O66" s="163"/>
      <x:c r="P66" s="163"/>
      <x:c r="Q66" s="163"/>
      <x:c r="R66" s="163"/>
      <x:c r="S66" s="163"/>
      <x:c r="T66" s="163"/>
      <x:c r="U66" s="163"/>
      <x:c r="V66" s="163"/>
      <x:c r="W66" s="163"/>
      <x:c r="X66" s="163"/>
      <x:c r="Y66" s="163"/>
      <x:c r="Z66" s="163"/>
    </x:row>
    <x:row r="67" ht="15" hidden="0" customHeight="1">
      <x:c r="A67" s="163"/>
      <x:c r="B67" s="163"/>
      <x:c r="C67" s="163"/>
      <x:c r="D67" s="163"/>
      <x:c r="E67" s="163"/>
      <x:c r="F67" s="163"/>
      <x:c r="G67" s="163"/>
      <x:c r="H67" s="163"/>
      <x:c r="I67" s="163"/>
      <x:c r="J67" s="163"/>
      <x:c r="K67" s="163"/>
      <x:c r="L67" s="163"/>
      <x:c r="M67" s="163"/>
      <x:c r="N67" s="163"/>
      <x:c r="O67" s="163"/>
      <x:c r="P67" s="163"/>
      <x:c r="Q67" s="163"/>
      <x:c r="R67" s="163"/>
      <x:c r="S67" s="163"/>
      <x:c r="T67" s="163"/>
      <x:c r="U67" s="163"/>
      <x:c r="V67" s="163"/>
      <x:c r="W67" s="163"/>
      <x:c r="X67" s="163"/>
      <x:c r="Y67" s="163"/>
      <x:c r="Z67" s="163"/>
    </x:row>
    <x:row r="68" ht="15" hidden="0" customHeight="1">
      <x:c r="A68" s="163"/>
      <x:c r="B68" s="163"/>
      <x:c r="C68" s="163"/>
      <x:c r="D68" s="163"/>
      <x:c r="E68" s="163"/>
      <x:c r="F68" s="163"/>
      <x:c r="G68" s="163"/>
      <x:c r="H68" s="163"/>
      <x:c r="I68" s="163"/>
      <x:c r="J68" s="163"/>
      <x:c r="K68" s="163"/>
      <x:c r="L68" s="163"/>
      <x:c r="M68" s="163"/>
      <x:c r="N68" s="163"/>
      <x:c r="O68" s="163"/>
      <x:c r="P68" s="163"/>
      <x:c r="Q68" s="163"/>
      <x:c r="R68" s="163"/>
      <x:c r="S68" s="163"/>
      <x:c r="T68" s="163"/>
      <x:c r="U68" s="163"/>
      <x:c r="V68" s="163"/>
      <x:c r="W68" s="163"/>
      <x:c r="X68" s="163"/>
      <x:c r="Y68" s="163"/>
      <x:c r="Z68" s="163"/>
    </x:row>
    <x:row r="69" ht="15" hidden="0" customHeight="1">
      <x:c r="A69" s="163"/>
      <x:c r="B69" s="163"/>
      <x:c r="C69" s="163"/>
      <x:c r="D69" s="163"/>
      <x:c r="E69" s="163"/>
      <x:c r="F69" s="163"/>
      <x:c r="G69" s="163"/>
      <x:c r="H69" s="163"/>
      <x:c r="I69" s="163"/>
      <x:c r="J69" s="163"/>
      <x:c r="K69" s="163"/>
      <x:c r="L69" s="163"/>
      <x:c r="M69" s="163"/>
      <x:c r="N69" s="163"/>
      <x:c r="O69" s="163"/>
      <x:c r="P69" s="163"/>
      <x:c r="Q69" s="163"/>
      <x:c r="R69" s="163"/>
      <x:c r="S69" s="163"/>
      <x:c r="T69" s="163"/>
      <x:c r="U69" s="163"/>
      <x:c r="V69" s="163"/>
      <x:c r="W69" s="163"/>
      <x:c r="X69" s="163"/>
      <x:c r="Y69" s="163"/>
      <x:c r="Z69" s="163"/>
    </x:row>
    <x:row r="70" ht="15" hidden="0" customHeight="1">
      <x:c r="A70" s="163"/>
      <x:c r="B70" s="163"/>
      <x:c r="C70" s="163"/>
      <x:c r="D70" s="163"/>
      <x:c r="E70" s="163"/>
      <x:c r="F70" s="163"/>
      <x:c r="G70" s="163"/>
      <x:c r="H70" s="163"/>
      <x:c r="I70" s="163"/>
      <x:c r="J70" s="163"/>
      <x:c r="K70" s="163"/>
      <x:c r="L70" s="163"/>
      <x:c r="M70" s="163"/>
      <x:c r="N70" s="163"/>
      <x:c r="O70" s="163"/>
      <x:c r="P70" s="163"/>
      <x:c r="Q70" s="163"/>
      <x:c r="R70" s="163"/>
      <x:c r="S70" s="163"/>
      <x:c r="T70" s="163"/>
      <x:c r="U70" s="163"/>
      <x:c r="V70" s="163"/>
      <x:c r="W70" s="163"/>
      <x:c r="X70" s="163"/>
      <x:c r="Y70" s="163"/>
      <x:c r="Z70" s="163"/>
    </x:row>
    <x:row r="71" ht="15" hidden="0" customHeight="1">
      <x:c r="A71" s="163"/>
      <x:c r="B71" s="163"/>
      <x:c r="C71" s="163"/>
      <x:c r="D71" s="163"/>
      <x:c r="E71" s="163"/>
      <x:c r="F71" s="163"/>
      <x:c r="G71" s="163"/>
      <x:c r="H71" s="163"/>
      <x:c r="I71" s="163"/>
      <x:c r="J71" s="163"/>
      <x:c r="K71" s="163"/>
      <x:c r="L71" s="163"/>
      <x:c r="M71" s="163"/>
      <x:c r="N71" s="163"/>
      <x:c r="O71" s="163"/>
      <x:c r="P71" s="163"/>
      <x:c r="Q71" s="163"/>
      <x:c r="R71" s="163"/>
      <x:c r="S71" s="163"/>
      <x:c r="T71" s="163"/>
      <x:c r="U71" s="163"/>
      <x:c r="V71" s="163"/>
      <x:c r="W71" s="163"/>
      <x:c r="X71" s="163"/>
      <x:c r="Y71" s="163"/>
      <x:c r="Z71" s="163"/>
    </x:row>
    <x:row r="72" ht="15" hidden="0" customHeight="1">
      <x:c r="A72" s="163"/>
      <x:c r="B72" s="163"/>
      <x:c r="C72" s="163"/>
      <x:c r="D72" s="163"/>
      <x:c r="E72" s="163"/>
      <x:c r="F72" s="163"/>
      <x:c r="G72" s="163"/>
      <x:c r="H72" s="163"/>
      <x:c r="I72" s="163"/>
      <x:c r="J72" s="163"/>
      <x:c r="K72" s="163"/>
      <x:c r="L72" s="163"/>
      <x:c r="M72" s="163"/>
      <x:c r="N72" s="163"/>
      <x:c r="O72" s="163"/>
      <x:c r="P72" s="163"/>
      <x:c r="Q72" s="163"/>
      <x:c r="R72" s="163"/>
      <x:c r="S72" s="163"/>
      <x:c r="T72" s="163"/>
      <x:c r="U72" s="163"/>
      <x:c r="V72" s="163"/>
      <x:c r="W72" s="163"/>
      <x:c r="X72" s="163"/>
      <x:c r="Y72" s="163"/>
      <x:c r="Z72" s="163"/>
    </x:row>
    <x:row r="73" ht="15" hidden="0" customHeight="1">
      <x:c r="A73" s="163"/>
      <x:c r="B73" s="163"/>
      <x:c r="C73" s="163"/>
      <x:c r="D73" s="163"/>
      <x:c r="E73" s="163"/>
      <x:c r="F73" s="163"/>
      <x:c r="G73" s="163"/>
      <x:c r="H73" s="163"/>
      <x:c r="I73" s="163"/>
      <x:c r="J73" s="163"/>
      <x:c r="K73" s="163"/>
      <x:c r="L73" s="163"/>
      <x:c r="M73" s="163"/>
      <x:c r="N73" s="163"/>
      <x:c r="O73" s="163"/>
      <x:c r="P73" s="163"/>
      <x:c r="Q73" s="163"/>
      <x:c r="R73" s="163"/>
      <x:c r="S73" s="163"/>
      <x:c r="T73" s="163"/>
      <x:c r="U73" s="163"/>
      <x:c r="V73" s="163"/>
      <x:c r="W73" s="163"/>
      <x:c r="X73" s="163"/>
      <x:c r="Y73" s="163"/>
      <x:c r="Z73" s="163"/>
    </x:row>
    <x:row r="74" ht="15" hidden="0" customHeight="1">
      <x:c r="A74" s="163"/>
      <x:c r="B74" s="163"/>
      <x:c r="C74" s="163"/>
      <x:c r="D74" s="163"/>
      <x:c r="E74" s="163"/>
      <x:c r="F74" s="163"/>
      <x:c r="G74" s="163"/>
      <x:c r="H74" s="163"/>
      <x:c r="I74" s="163"/>
      <x:c r="J74" s="163"/>
      <x:c r="K74" s="163"/>
      <x:c r="L74" s="163"/>
      <x:c r="M74" s="163"/>
      <x:c r="N74" s="163"/>
      <x:c r="O74" s="163"/>
      <x:c r="P74" s="163"/>
      <x:c r="Q74" s="163"/>
      <x:c r="R74" s="163"/>
      <x:c r="S74" s="163"/>
      <x:c r="T74" s="163"/>
      <x:c r="U74" s="163"/>
      <x:c r="V74" s="163"/>
      <x:c r="W74" s="163"/>
      <x:c r="X74" s="163"/>
      <x:c r="Y74" s="163"/>
      <x:c r="Z74" s="163"/>
    </x:row>
    <x:row r="75" ht="15" hidden="0" customHeight="1">
      <x:c r="A75" s="163"/>
      <x:c r="B75" s="163"/>
      <x:c r="C75" s="163"/>
      <x:c r="D75" s="163"/>
      <x:c r="E75" s="163"/>
      <x:c r="F75" s="163"/>
      <x:c r="G75" s="163"/>
      <x:c r="H75" s="163"/>
      <x:c r="I75" s="163"/>
      <x:c r="J75" s="163"/>
      <x:c r="K75" s="163"/>
      <x:c r="L75" s="163"/>
      <x:c r="M75" s="163"/>
      <x:c r="N75" s="163"/>
      <x:c r="O75" s="163"/>
      <x:c r="P75" s="163"/>
      <x:c r="Q75" s="163"/>
      <x:c r="R75" s="163"/>
      <x:c r="S75" s="163"/>
      <x:c r="T75" s="163"/>
      <x:c r="U75" s="163"/>
      <x:c r="V75" s="163"/>
      <x:c r="W75" s="163"/>
      <x:c r="X75" s="163"/>
      <x:c r="Y75" s="163"/>
      <x:c r="Z75" s="163"/>
    </x:row>
    <x:row r="76" ht="15" hidden="0" customHeight="1">
      <x:c r="A76" s="163"/>
      <x:c r="B76" s="163"/>
      <x:c r="C76" s="163"/>
      <x:c r="D76" s="163"/>
      <x:c r="E76" s="163"/>
      <x:c r="F76" s="163"/>
      <x:c r="G76" s="163"/>
      <x:c r="H76" s="163"/>
      <x:c r="I76" s="163"/>
      <x:c r="J76" s="163"/>
      <x:c r="K76" s="163"/>
      <x:c r="L76" s="163"/>
      <x:c r="M76" s="163"/>
      <x:c r="N76" s="163"/>
      <x:c r="O76" s="163"/>
      <x:c r="P76" s="163"/>
      <x:c r="Q76" s="163"/>
      <x:c r="R76" s="163"/>
      <x:c r="S76" s="163"/>
      <x:c r="T76" s="163"/>
      <x:c r="U76" s="163"/>
      <x:c r="V76" s="163"/>
      <x:c r="W76" s="163"/>
      <x:c r="X76" s="163"/>
      <x:c r="Y76" s="163"/>
      <x:c r="Z76" s="163"/>
    </x:row>
    <x:row r="77" ht="15" hidden="0" customHeight="1">
      <x:c r="A77" s="163"/>
      <x:c r="B77" s="163"/>
      <x:c r="C77" s="163"/>
      <x:c r="D77" s="163"/>
      <x:c r="E77" s="163"/>
      <x:c r="F77" s="163"/>
      <x:c r="G77" s="163"/>
      <x:c r="H77" s="163"/>
      <x:c r="I77" s="163"/>
      <x:c r="J77" s="163"/>
      <x:c r="K77" s="163"/>
      <x:c r="L77" s="163"/>
      <x:c r="M77" s="163"/>
      <x:c r="N77" s="163"/>
      <x:c r="O77" s="163"/>
      <x:c r="P77" s="163"/>
      <x:c r="Q77" s="163"/>
      <x:c r="R77" s="163"/>
      <x:c r="S77" s="163"/>
      <x:c r="T77" s="163"/>
      <x:c r="U77" s="163"/>
      <x:c r="V77" s="163"/>
      <x:c r="W77" s="163"/>
      <x:c r="X77" s="163"/>
      <x:c r="Y77" s="163"/>
      <x:c r="Z77" s="163"/>
    </x:row>
    <x:row r="78" ht="15" hidden="0" customHeight="1">
      <x:c r="A78" s="163"/>
      <x:c r="B78" s="163"/>
      <x:c r="C78" s="163"/>
      <x:c r="D78" s="163"/>
      <x:c r="E78" s="163"/>
      <x:c r="F78" s="163"/>
      <x:c r="G78" s="163"/>
      <x:c r="H78" s="163"/>
      <x:c r="I78" s="163"/>
      <x:c r="J78" s="163"/>
      <x:c r="K78" s="163"/>
      <x:c r="L78" s="163"/>
      <x:c r="M78" s="163"/>
      <x:c r="N78" s="163"/>
      <x:c r="O78" s="163"/>
      <x:c r="P78" s="163"/>
      <x:c r="Q78" s="163"/>
      <x:c r="R78" s="163"/>
      <x:c r="S78" s="163"/>
      <x:c r="T78" s="163"/>
      <x:c r="U78" s="163"/>
      <x:c r="V78" s="163"/>
      <x:c r="W78" s="163"/>
      <x:c r="X78" s="163"/>
      <x:c r="Y78" s="163"/>
      <x:c r="Z78" s="163"/>
    </x:row>
    <x:row r="79" ht="15" hidden="0" customHeight="1">
      <x:c r="A79" s="163"/>
      <x:c r="B79" s="163"/>
      <x:c r="C79" s="163"/>
      <x:c r="D79" s="163"/>
      <x:c r="E79" s="163"/>
      <x:c r="F79" s="163"/>
      <x:c r="G79" s="163"/>
      <x:c r="H79" s="163"/>
      <x:c r="I79" s="163"/>
      <x:c r="J79" s="163"/>
      <x:c r="K79" s="163"/>
      <x:c r="L79" s="163"/>
      <x:c r="M79" s="163"/>
      <x:c r="N79" s="163"/>
      <x:c r="O79" s="163"/>
      <x:c r="P79" s="163"/>
      <x:c r="Q79" s="163"/>
      <x:c r="R79" s="163"/>
      <x:c r="S79" s="163"/>
      <x:c r="T79" s="163"/>
      <x:c r="U79" s="163"/>
      <x:c r="V79" s="163"/>
      <x:c r="W79" s="163"/>
      <x:c r="X79" s="163"/>
      <x:c r="Y79" s="163"/>
      <x:c r="Z79" s="163"/>
    </x:row>
    <x:row r="80" ht="15" hidden="0" customHeight="1">
      <x:c r="A80" s="163"/>
      <x:c r="B80" s="163"/>
      <x:c r="C80" s="163"/>
      <x:c r="D80" s="163"/>
      <x:c r="E80" s="163"/>
      <x:c r="F80" s="163"/>
      <x:c r="G80" s="163"/>
      <x:c r="H80" s="163"/>
      <x:c r="I80" s="163"/>
      <x:c r="J80" s="163"/>
      <x:c r="K80" s="163"/>
      <x:c r="L80" s="163"/>
      <x:c r="M80" s="163"/>
      <x:c r="N80" s="163"/>
      <x:c r="O80" s="163"/>
      <x:c r="P80" s="163"/>
      <x:c r="Q80" s="163"/>
      <x:c r="R80" s="163"/>
      <x:c r="S80" s="163"/>
      <x:c r="T80" s="163"/>
      <x:c r="U80" s="163"/>
      <x:c r="V80" s="163"/>
      <x:c r="W80" s="163"/>
      <x:c r="X80" s="163"/>
      <x:c r="Y80" s="163"/>
      <x:c r="Z80" s="163"/>
    </x:row>
    <x:row r="81" ht="15" hidden="0" customHeight="1">
      <x:c r="A81" s="163"/>
      <x:c r="B81" s="163"/>
      <x:c r="C81" s="163"/>
      <x:c r="D81" s="163"/>
      <x:c r="E81" s="163"/>
      <x:c r="F81" s="163"/>
      <x:c r="G81" s="163"/>
      <x:c r="H81" s="163"/>
      <x:c r="I81" s="163"/>
      <x:c r="J81" s="163"/>
      <x:c r="K81" s="163"/>
      <x:c r="L81" s="163"/>
      <x:c r="M81" s="163"/>
      <x:c r="N81" s="163"/>
      <x:c r="O81" s="163"/>
      <x:c r="P81" s="163"/>
      <x:c r="Q81" s="163"/>
      <x:c r="R81" s="163"/>
      <x:c r="S81" s="163"/>
      <x:c r="T81" s="163"/>
      <x:c r="U81" s="163"/>
      <x:c r="V81" s="163"/>
      <x:c r="W81" s="163"/>
      <x:c r="X81" s="163"/>
      <x:c r="Y81" s="163"/>
      <x:c r="Z81" s="163"/>
    </x:row>
    <x:row r="82" ht="15" hidden="0" customHeight="1">
      <x:c r="A82" s="163"/>
      <x:c r="B82" s="163"/>
      <x:c r="C82" s="163"/>
      <x:c r="D82" s="163"/>
      <x:c r="E82" s="163"/>
      <x:c r="F82" s="163"/>
      <x:c r="G82" s="163"/>
      <x:c r="H82" s="163"/>
      <x:c r="I82" s="163"/>
      <x:c r="J82" s="163"/>
      <x:c r="K82" s="163"/>
      <x:c r="L82" s="163"/>
      <x:c r="M82" s="163"/>
      <x:c r="N82" s="163"/>
      <x:c r="O82" s="163"/>
      <x:c r="P82" s="163"/>
      <x:c r="Q82" s="163"/>
      <x:c r="R82" s="163"/>
      <x:c r="S82" s="163"/>
      <x:c r="T82" s="163"/>
      <x:c r="U82" s="163"/>
      <x:c r="V82" s="163"/>
      <x:c r="W82" s="163"/>
      <x:c r="X82" s="163"/>
      <x:c r="Y82" s="163"/>
      <x:c r="Z82" s="163"/>
    </x:row>
    <x:row r="83" ht="15" hidden="0" customHeight="1">
      <x:c r="A83" s="163"/>
      <x:c r="B83" s="163"/>
      <x:c r="C83" s="163"/>
      <x:c r="D83" s="163"/>
      <x:c r="E83" s="163"/>
      <x:c r="F83" s="163"/>
      <x:c r="G83" s="163"/>
      <x:c r="H83" s="163"/>
      <x:c r="I83" s="163"/>
      <x:c r="J83" s="163"/>
      <x:c r="K83" s="163"/>
      <x:c r="L83" s="163"/>
      <x:c r="M83" s="163"/>
      <x:c r="N83" s="163"/>
      <x:c r="O83" s="163"/>
      <x:c r="P83" s="163"/>
      <x:c r="Q83" s="163"/>
      <x:c r="R83" s="163"/>
      <x:c r="S83" s="163"/>
      <x:c r="T83" s="163"/>
      <x:c r="U83" s="163"/>
      <x:c r="V83" s="163"/>
      <x:c r="W83" s="163"/>
      <x:c r="X83" s="163"/>
      <x:c r="Y83" s="163"/>
      <x:c r="Z83" s="163"/>
    </x:row>
    <x:row r="84" ht="15" hidden="0" customHeight="1">
      <x:c r="A84" s="163"/>
      <x:c r="B84" s="163"/>
      <x:c r="C84" s="163"/>
      <x:c r="D84" s="163"/>
      <x:c r="E84" s="163"/>
      <x:c r="F84" s="163"/>
      <x:c r="G84" s="163"/>
      <x:c r="H84" s="163"/>
      <x:c r="I84" s="163"/>
      <x:c r="J84" s="163"/>
      <x:c r="K84" s="163"/>
      <x:c r="L84" s="163"/>
      <x:c r="M84" s="163"/>
      <x:c r="N84" s="163"/>
      <x:c r="O84" s="163"/>
      <x:c r="P84" s="163"/>
      <x:c r="Q84" s="163"/>
      <x:c r="R84" s="163"/>
      <x:c r="S84" s="163"/>
      <x:c r="T84" s="163"/>
      <x:c r="U84" s="163"/>
      <x:c r="V84" s="163"/>
      <x:c r="W84" s="163"/>
      <x:c r="X84" s="163"/>
      <x:c r="Y84" s="163"/>
      <x:c r="Z84" s="163"/>
    </x:row>
    <x:row r="85" ht="15" hidden="0" customHeight="1">
      <x:c r="A85" s="163"/>
      <x:c r="B85" s="163"/>
      <x:c r="C85" s="163"/>
      <x:c r="D85" s="163"/>
      <x:c r="E85" s="163"/>
      <x:c r="F85" s="163"/>
      <x:c r="G85" s="163"/>
      <x:c r="H85" s="163"/>
      <x:c r="I85" s="163"/>
      <x:c r="J85" s="163"/>
      <x:c r="K85" s="163"/>
      <x:c r="L85" s="163"/>
      <x:c r="M85" s="163"/>
      <x:c r="N85" s="163"/>
      <x:c r="O85" s="163"/>
      <x:c r="P85" s="163"/>
      <x:c r="Q85" s="163"/>
      <x:c r="R85" s="163"/>
      <x:c r="S85" s="163"/>
      <x:c r="T85" s="163"/>
      <x:c r="U85" s="163"/>
      <x:c r="V85" s="163"/>
      <x:c r="W85" s="163"/>
      <x:c r="X85" s="163"/>
      <x:c r="Y85" s="163"/>
      <x:c r="Z85" s="163"/>
    </x:row>
    <x:row r="86" ht="15" hidden="0" customHeight="1">
      <x:c r="A86" s="163"/>
      <x:c r="B86" s="163"/>
      <x:c r="C86" s="163"/>
      <x:c r="D86" s="163"/>
      <x:c r="E86" s="163"/>
      <x:c r="F86" s="163"/>
      <x:c r="G86" s="163"/>
      <x:c r="H86" s="163"/>
      <x:c r="I86" s="163"/>
      <x:c r="J86" s="163"/>
      <x:c r="K86" s="163"/>
      <x:c r="L86" s="163"/>
      <x:c r="M86" s="163"/>
      <x:c r="N86" s="163"/>
      <x:c r="O86" s="163"/>
      <x:c r="P86" s="163"/>
      <x:c r="Q86" s="163"/>
      <x:c r="R86" s="163"/>
      <x:c r="S86" s="163"/>
      <x:c r="T86" s="163"/>
      <x:c r="U86" s="163"/>
      <x:c r="V86" s="163"/>
      <x:c r="W86" s="163"/>
      <x:c r="X86" s="163"/>
      <x:c r="Y86" s="163"/>
      <x:c r="Z86" s="163"/>
    </x:row>
    <x:row r="87" ht="15" hidden="0" customHeight="1">
      <x:c r="A87" s="163"/>
      <x:c r="B87" s="163"/>
      <x:c r="C87" s="163"/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63"/>
      <x:c r="S87" s="163"/>
      <x:c r="T87" s="163"/>
      <x:c r="U87" s="163"/>
      <x:c r="V87" s="163"/>
      <x:c r="W87" s="163"/>
      <x:c r="X87" s="163"/>
      <x:c r="Y87" s="163"/>
      <x:c r="Z87" s="163"/>
    </x:row>
    <x:row r="88" ht="15" hidden="0" customHeight="1">
      <x:c r="A88" s="163"/>
      <x:c r="B88" s="163"/>
      <x:c r="C88" s="163"/>
      <x:c r="D88" s="163"/>
      <x:c r="E88" s="163"/>
      <x:c r="F88" s="163"/>
      <x:c r="G88" s="163"/>
      <x:c r="H88" s="163"/>
      <x:c r="I88" s="163"/>
      <x:c r="J88" s="163"/>
      <x:c r="K88" s="163"/>
      <x:c r="L88" s="163"/>
      <x:c r="M88" s="163"/>
      <x:c r="N88" s="163"/>
      <x:c r="O88" s="163"/>
      <x:c r="P88" s="163"/>
      <x:c r="Q88" s="163"/>
      <x:c r="R88" s="163"/>
      <x:c r="S88" s="163"/>
      <x:c r="T88" s="163"/>
      <x:c r="U88" s="163"/>
      <x:c r="V88" s="163"/>
      <x:c r="W88" s="163"/>
      <x:c r="X88" s="163"/>
      <x:c r="Y88" s="163"/>
      <x:c r="Z88" s="163"/>
    </x:row>
    <x:row r="89" ht="15" hidden="0" customHeight="1">
      <x:c r="A89" s="163"/>
      <x:c r="B89" s="163"/>
      <x:c r="C89" s="163"/>
      <x:c r="D89" s="163"/>
      <x:c r="E89" s="163"/>
      <x:c r="F89" s="163"/>
      <x:c r="G89" s="163"/>
      <x:c r="H89" s="163"/>
      <x:c r="I89" s="163"/>
      <x:c r="J89" s="163"/>
      <x:c r="K89" s="163"/>
      <x:c r="L89" s="163"/>
      <x:c r="M89" s="163"/>
      <x:c r="N89" s="163"/>
      <x:c r="O89" s="163"/>
      <x:c r="P89" s="163"/>
      <x:c r="Q89" s="163"/>
      <x:c r="R89" s="163"/>
      <x:c r="S89" s="163"/>
      <x:c r="T89" s="163"/>
      <x:c r="U89" s="163"/>
      <x:c r="V89" s="163"/>
      <x:c r="W89" s="163"/>
      <x:c r="X89" s="163"/>
      <x:c r="Y89" s="163"/>
      <x:c r="Z89" s="163"/>
    </x:row>
    <x:row r="90" ht="15" hidden="0" customHeight="1">
      <x:c r="A90" s="163"/>
      <x:c r="B90" s="163"/>
      <x:c r="C90" s="163"/>
      <x:c r="D90" s="163"/>
      <x:c r="E90" s="163"/>
      <x:c r="F90" s="163"/>
      <x:c r="G90" s="163"/>
      <x:c r="H90" s="163"/>
      <x:c r="I90" s="163"/>
      <x:c r="J90" s="163"/>
      <x:c r="K90" s="163"/>
      <x:c r="L90" s="163"/>
      <x:c r="M90" s="163"/>
      <x:c r="N90" s="163"/>
      <x:c r="O90" s="163"/>
      <x:c r="P90" s="163"/>
      <x:c r="Q90" s="163"/>
      <x:c r="R90" s="163"/>
      <x:c r="S90" s="163"/>
      <x:c r="T90" s="163"/>
      <x:c r="U90" s="163"/>
      <x:c r="V90" s="163"/>
      <x:c r="W90" s="163"/>
      <x:c r="X90" s="163"/>
      <x:c r="Y90" s="163"/>
      <x:c r="Z90" s="163"/>
    </x:row>
    <x:row r="91" ht="15" hidden="0" customHeight="1">
      <x:c r="A91" s="163"/>
      <x:c r="B91" s="163"/>
      <x:c r="C91" s="163"/>
      <x:c r="D91" s="163"/>
      <x:c r="E91" s="163"/>
      <x:c r="F91" s="163"/>
      <x:c r="G91" s="163"/>
      <x:c r="H91" s="163"/>
      <x:c r="I91" s="163"/>
      <x:c r="J91" s="163"/>
      <x:c r="K91" s="163"/>
      <x:c r="L91" s="163"/>
      <x:c r="M91" s="163"/>
      <x:c r="N91" s="163"/>
      <x:c r="O91" s="163"/>
      <x:c r="P91" s="163"/>
      <x:c r="Q91" s="163"/>
      <x:c r="R91" s="163"/>
      <x:c r="S91" s="163"/>
      <x:c r="T91" s="163"/>
      <x:c r="U91" s="163"/>
      <x:c r="V91" s="163"/>
      <x:c r="W91" s="163"/>
      <x:c r="X91" s="163"/>
      <x:c r="Y91" s="163"/>
      <x:c r="Z91" s="163"/>
    </x:row>
    <x:row r="92" ht="15" hidden="0" customHeight="1">
      <x:c r="A92" s="163"/>
      <x:c r="B92" s="163"/>
      <x:c r="C92" s="163"/>
      <x:c r="D92" s="163"/>
      <x:c r="E92" s="163"/>
      <x:c r="F92" s="163"/>
      <x:c r="G92" s="163"/>
      <x:c r="H92" s="163"/>
      <x:c r="I92" s="163"/>
      <x:c r="J92" s="163"/>
      <x:c r="K92" s="163"/>
      <x:c r="L92" s="163"/>
      <x:c r="M92" s="163"/>
      <x:c r="N92" s="163"/>
      <x:c r="O92" s="163"/>
      <x:c r="P92" s="163"/>
      <x:c r="Q92" s="163"/>
      <x:c r="R92" s="163"/>
      <x:c r="S92" s="163"/>
      <x:c r="T92" s="163"/>
      <x:c r="U92" s="163"/>
      <x:c r="V92" s="163"/>
      <x:c r="W92" s="163"/>
      <x:c r="X92" s="163"/>
      <x:c r="Y92" s="163"/>
      <x:c r="Z92" s="163"/>
    </x:row>
    <x:row r="93" ht="15" hidden="0" customHeight="1">
      <x:c r="A93" s="163"/>
      <x:c r="B93" s="163"/>
      <x:c r="C93" s="163"/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63"/>
      <x:c r="S93" s="163"/>
      <x:c r="T93" s="163"/>
      <x:c r="U93" s="163"/>
      <x:c r="V93" s="163"/>
      <x:c r="W93" s="163"/>
      <x:c r="X93" s="163"/>
      <x:c r="Y93" s="163"/>
      <x:c r="Z93" s="163"/>
    </x:row>
    <x:row r="94" ht="15" hidden="0" customHeight="1">
      <x:c r="A94" s="163"/>
      <x:c r="B94" s="163"/>
      <x:c r="C94" s="163"/>
      <x:c r="D94" s="163"/>
      <x:c r="E94" s="163"/>
      <x:c r="F94" s="163"/>
      <x:c r="G94" s="163"/>
      <x:c r="H94" s="163"/>
      <x:c r="I94" s="163"/>
      <x:c r="J94" s="163"/>
      <x:c r="K94" s="163"/>
      <x:c r="L94" s="163"/>
      <x:c r="M94" s="163"/>
      <x:c r="N94" s="163"/>
      <x:c r="O94" s="163"/>
      <x:c r="P94" s="163"/>
      <x:c r="Q94" s="163"/>
      <x:c r="R94" s="163"/>
      <x:c r="S94" s="163"/>
      <x:c r="T94" s="163"/>
      <x:c r="U94" s="163"/>
      <x:c r="V94" s="163"/>
      <x:c r="W94" s="163"/>
      <x:c r="X94" s="163"/>
      <x:c r="Y94" s="163"/>
      <x:c r="Z94" s="163"/>
    </x:row>
    <x:row r="95" ht="15" hidden="0" customHeight="1">
      <x:c r="A95" s="163"/>
      <x:c r="B95" s="163"/>
      <x:c r="C95" s="163"/>
      <x:c r="D95" s="163"/>
      <x:c r="E95" s="163"/>
      <x:c r="F95" s="163"/>
      <x:c r="G95" s="163"/>
      <x:c r="H95" s="163"/>
      <x:c r="I95" s="163"/>
      <x:c r="J95" s="163"/>
      <x:c r="K95" s="163"/>
      <x:c r="L95" s="163"/>
      <x:c r="M95" s="163"/>
      <x:c r="N95" s="163"/>
      <x:c r="O95" s="163"/>
      <x:c r="P95" s="163"/>
      <x:c r="Q95" s="163"/>
      <x:c r="R95" s="163"/>
      <x:c r="S95" s="163"/>
      <x:c r="T95" s="163"/>
      <x:c r="U95" s="163"/>
      <x:c r="V95" s="163"/>
      <x:c r="W95" s="163"/>
      <x:c r="X95" s="163"/>
      <x:c r="Y95" s="163"/>
      <x:c r="Z95" s="163"/>
    </x:row>
    <x:row r="96" ht="15" hidden="0" customHeight="1">
      <x:c r="A96" s="163"/>
      <x:c r="B96" s="163"/>
      <x:c r="C96" s="163"/>
      <x:c r="D96" s="163"/>
      <x:c r="E96" s="163"/>
      <x:c r="F96" s="163"/>
      <x:c r="G96" s="163"/>
      <x:c r="H96" s="163"/>
      <x:c r="I96" s="163"/>
      <x:c r="J96" s="163"/>
      <x:c r="K96" s="163"/>
      <x:c r="L96" s="163"/>
      <x:c r="M96" s="163"/>
      <x:c r="N96" s="163"/>
      <x:c r="O96" s="163"/>
      <x:c r="P96" s="163"/>
      <x:c r="Q96" s="163"/>
      <x:c r="R96" s="163"/>
      <x:c r="S96" s="163"/>
      <x:c r="T96" s="163"/>
      <x:c r="U96" s="163"/>
      <x:c r="V96" s="163"/>
      <x:c r="W96" s="163"/>
      <x:c r="X96" s="163"/>
      <x:c r="Y96" s="163"/>
      <x:c r="Z96" s="163"/>
    </x:row>
    <x:row r="97" ht="15" hidden="0" customHeight="1">
      <x:c r="A97" s="163"/>
      <x:c r="B97" s="163"/>
      <x:c r="C97" s="163"/>
      <x:c r="D97" s="163"/>
      <x:c r="E97" s="163"/>
      <x:c r="F97" s="163"/>
      <x:c r="G97" s="163"/>
      <x:c r="H97" s="163"/>
      <x:c r="I97" s="163"/>
      <x:c r="J97" s="163"/>
      <x:c r="K97" s="163"/>
      <x:c r="L97" s="163"/>
      <x:c r="M97" s="163"/>
      <x:c r="N97" s="163"/>
      <x:c r="O97" s="163"/>
      <x:c r="P97" s="163"/>
      <x:c r="Q97" s="163"/>
      <x:c r="R97" s="163"/>
      <x:c r="S97" s="163"/>
      <x:c r="T97" s="163"/>
      <x:c r="U97" s="163"/>
      <x:c r="V97" s="163"/>
      <x:c r="W97" s="163"/>
      <x:c r="X97" s="163"/>
      <x:c r="Y97" s="163"/>
      <x:c r="Z97" s="163"/>
    </x:row>
    <x:row r="98" ht="15" hidden="0" customHeight="1">
      <x:c r="A98" s="163"/>
      <x:c r="B98" s="163"/>
      <x:c r="C98" s="163"/>
      <x:c r="D98" s="163"/>
      <x:c r="E98" s="163"/>
      <x:c r="F98" s="163"/>
      <x:c r="G98" s="163"/>
      <x:c r="H98" s="163"/>
      <x:c r="I98" s="163"/>
      <x:c r="J98" s="163"/>
      <x:c r="K98" s="163"/>
      <x:c r="L98" s="163"/>
      <x:c r="M98" s="163"/>
      <x:c r="N98" s="163"/>
      <x:c r="O98" s="163"/>
      <x:c r="P98" s="163"/>
      <x:c r="Q98" s="163"/>
      <x:c r="R98" s="163"/>
      <x:c r="S98" s="163"/>
      <x:c r="T98" s="163"/>
      <x:c r="U98" s="163"/>
      <x:c r="V98" s="163"/>
      <x:c r="W98" s="163"/>
      <x:c r="X98" s="163"/>
      <x:c r="Y98" s="163"/>
      <x:c r="Z98" s="163"/>
    </x:row>
    <x:row r="99" ht="15" hidden="0" customHeight="1">
      <x:c r="A99" s="163"/>
      <x:c r="B99" s="163"/>
      <x:c r="C99" s="163"/>
      <x:c r="D99" s="163"/>
      <x:c r="E99" s="163"/>
      <x:c r="F99" s="163"/>
      <x:c r="G99" s="163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63"/>
      <x:c r="S99" s="163"/>
      <x:c r="T99" s="163"/>
      <x:c r="U99" s="163"/>
      <x:c r="V99" s="163"/>
      <x:c r="W99" s="163"/>
      <x:c r="X99" s="163"/>
      <x:c r="Y99" s="163"/>
      <x:c r="Z99" s="163"/>
    </x:row>
    <x:row r="100" ht="15" hidden="0" customHeight="1">
      <x:c r="A100" s="163"/>
      <x:c r="B100" s="163"/>
      <x:c r="C100" s="163"/>
      <x:c r="D100" s="163"/>
      <x:c r="E100" s="163"/>
      <x:c r="F100" s="163"/>
      <x:c r="G100" s="163"/>
      <x:c r="H100" s="163"/>
      <x:c r="I100" s="163"/>
      <x:c r="J100" s="163"/>
      <x:c r="K100" s="163"/>
      <x:c r="L100" s="163"/>
      <x:c r="M100" s="163"/>
      <x:c r="N100" s="163"/>
      <x:c r="O100" s="163"/>
      <x:c r="P100" s="163"/>
      <x:c r="Q100" s="163"/>
      <x:c r="R100" s="163"/>
      <x:c r="S100" s="163"/>
      <x:c r="T100" s="163"/>
      <x:c r="U100" s="163"/>
      <x:c r="V100" s="163"/>
      <x:c r="W100" s="163"/>
      <x:c r="X100" s="163"/>
      <x:c r="Y100" s="163"/>
      <x:c r="Z100" s="16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  <x:col min="3" max="3" width="15" hidden="0" customWidth="1"/>
    <x:col min="4" max="4" width="15" hidden="0" customWidth="1"/>
    <x:col min="5" max="5" width="46" hidden="0" customWidth="1"/>
    <x:col min="6" max="6" width="16" hidden="0" customWidth="1"/>
  </x:cols>
  <x:sheetData>
    <x:row r="1">
      <x:c r="A1" s="25" t="str">
        <x:v>Model QA / Release Checks</x:v>
      </x:c>
      <x:c r="B1" s="25"/>
      <x:c r="C1" s="25"/>
      <x:c r="D1" s="25"/>
      <x:c r="E1" s="25"/>
      <x:c r="F1" s="25"/>
    </x:row>
    <x:row r="2">
      <x:c r="A2" s="72" t="str">
        <x:v>All checks are formula-driven where possible. A PASS means the workbook is internally consistent under stated assumptions; it is not external validation.</x:v>
      </x:c>
      <x:c r="B2" s="72"/>
      <x:c r="C2" s="72"/>
      <x:c r="D2" s="72"/>
      <x:c r="E2" s="72"/>
      <x:c r="F2" s="72"/>
    </x:row>
    <x:row r="4">
      <x:c r="A4" s="6" t="str">
        <x:v>Check</x:v>
      </x:c>
      <x:c r="B4" s="6" t="str">
        <x:v>Formula / criterion</x:v>
      </x:c>
      <x:c r="C4" s="6" t="str">
        <x:v>Result</x:v>
      </x:c>
      <x:c r="D4" s="6" t="str">
        <x:v>Status</x:v>
      </x:c>
      <x:c r="E4" s="6" t="str">
        <x:v>Tolerance / comment</x:v>
      </x:c>
      <x:c r="F4" s="6" t="str">
        <x:v>Source</x:v>
      </x:c>
    </x:row>
    <x:row r="5">
      <x:c r="A5" s="15" t="str">
        <x:v>Equity + net debt = EV</x:v>
      </x:c>
      <x:c r="B5" s="15" t="str">
        <x:v>Equity value + derived net debt</x:v>
      </x:c>
      <x:c r="C5" s="254" t="n">
        <x:f>'Model Inputs'!B6+'Model Inputs'!B40-'Model Inputs'!B7</x:f>
        <x:v>0</x:v>
      </x:c>
      <x:c r="D5" s="105" t="str">
        <x:f>IF(ABS(C5)&lt;0.1,"PASS","FAIL")</x:f>
        <x:v>PASS</x:v>
      </x:c>
      <x:c r="E5" s="15" t="str">
        <x:v>Exact under rounded disclosed values</x:v>
      </x:c>
      <x:c r="F5" s="15" t="str">
        <x:v>S2/S3</x:v>
      </x:c>
    </x:row>
    <x:row r="6">
      <x:c r="A6" s="15" t="str">
        <x:v>Offer × derived shares = equity value</x:v>
      </x:c>
      <x:c r="B6" s="15" t="str">
        <x:v>Offer price × derived diluted shares</x:v>
      </x:c>
      <x:c r="C6" s="254" t="n">
        <x:f>'Model Inputs'!B5*'Model Inputs'!B41-'Model Inputs'!B6</x:f>
        <x:v>0</x:v>
      </x:c>
      <x:c r="D6" s="105" t="str">
        <x:f>IF(ABS(C6)&lt;0.1,"PASS","FAIL")</x:f>
        <x:v>PASS</x:v>
      </x:c>
      <x:c r="E6" s="15" t="str">
        <x:v>Exact by construction</x:v>
      </x:c>
      <x:c r="F6" s="15" t="str">
        <x:v>S3 / derived</x:v>
      </x:c>
    </x:row>
    <x:row r="7">
      <x:c r="A7" s="15" t="str">
        <x:v>2024 EBITDA reconstruction</x:v>
      </x:c>
      <x:c r="B7" s="15" t="str">
        <x:v>Operating income + depreciation + amortization</x:v>
      </x:c>
      <x:c r="C7" s="254" t="n">
        <x:f>'Model Inputs'!B16+'Model Inputs'!B17+'Model Inputs'!B18</x:f>
        <x:v>917.4</x:v>
      </x:c>
      <x:c r="D7" s="105" t="str">
        <x:f>IF(ABS(C7-917.4)&lt;0.1,"PASS","FAIL")</x:f>
        <x:v>PASS</x:v>
      </x:c>
      <x:c r="E7" s="15" t="str">
        <x:v>917.4mm expected from reported components</x:v>
      </x:c>
      <x:c r="F7" s="15" t="str">
        <x:v>S4</x:v>
      </x:c>
    </x:row>
    <x:row r="8">
      <x:c r="A8" s="15" t="str">
        <x:v>Independent comps low vs disclosed low</x:v>
      </x:c>
      <x:c r="B8" s="15" t="str">
        <x:v>Reconstructed low compared with $167.63 disclosed low</x:v>
      </x:c>
      <x:c r="C8" s="254" t="n">
        <x:f>'Valuation'!B27-167.63</x:f>
        <x:v>-2.125049504950482</x:v>
      </x:c>
      <x:c r="D8" s="105" t="str">
        <x:f>IF(ABS(C8)&lt;=3,"PASS","FAIL")</x:f>
        <x:v>PASS</x:v>
      </x:c>
      <x:c r="E8" s="15" t="str">
        <x:v>Within $3/share accepted due rounded EV/equity bridge</x:v>
      </x:c>
      <x:c r="F8" s="15" t="str">
        <x:v>S3</x:v>
      </x:c>
    </x:row>
    <x:row r="9">
      <x:c r="A9" s="15" t="str">
        <x:v>Independent comps high vs disclosed high</x:v>
      </x:c>
      <x:c r="B9" s="15" t="str">
        <x:v>Reconstructed high compared with $223.06 disclosed high</x:v>
      </x:c>
      <x:c r="C9" s="254" t="n">
        <x:f>'Valuation'!C27-223.06</x:f>
        <x:v>-1.7075247524752513</x:v>
      </x:c>
      <x:c r="D9" s="105" t="str">
        <x:f>IF(ABS(C9)&lt;=3,"PASS","FAIL")</x:f>
        <x:v>PASS</x:v>
      </x:c>
      <x:c r="E9" s="15" t="str">
        <x:v>Within $3/share accepted due rounded EV/equity bridge</x:v>
      </x:c>
      <x:c r="F9" s="15" t="str">
        <x:v>S3</x:v>
      </x:c>
    </x:row>
    <x:row r="10">
      <x:c r="A10" s="15" t="str">
        <x:v>Independent DCF range overlaps disclosed DCF range</x:v>
      </x:c>
      <x:c r="B10" s="15" t="str">
        <x:v>[$165.12,$224.42] vs [$171.32,$229.77]</x:v>
      </x:c>
      <x:c r="C10" s="254" t="n">
        <x:f>MIN('Valuation'!C29,229.77)-MAX('Valuation'!B29,171.32)</x:f>
        <x:v>53.099999999999994</x:v>
      </x:c>
      <x:c r="D10" s="105" t="str">
        <x:f>IF(C10&gt;0,"PASS","FAIL")</x:f>
        <x:v>PASS</x:v>
      </x:c>
      <x:c r="E10" s="15" t="str">
        <x:v>Directional / overlapping reconstruction</x:v>
      </x:c>
      <x:c r="F10" s="15" t="str">
        <x:v>S3</x:v>
      </x:c>
    </x:row>
    <x:row r="11">
      <x:c r="A11" s="15" t="str">
        <x:v>Offer above independent DCF midpoint</x:v>
      </x:c>
      <x:c r="B11" s="15" t="str">
        <x:v>$210 &gt; midpoint</x:v>
      </x:c>
      <x:c r="C11" s="254" t="n">
        <x:f>'Model Inputs'!B5-'Valuation'!D29</x:f>
        <x:v>15.230000000000018</x:v>
      </x:c>
      <x:c r="D11" s="105" t="str">
        <x:f>IF(C11&gt;0,"PASS","FAIL")</x:f>
        <x:v>PASS</x:v>
      </x:c>
      <x:c r="E11" s="15" t="str">
        <x:v>Analytical conclusion check</x:v>
      </x:c>
      <x:c r="F11" s="15" t="str">
        <x:v>Model</x:v>
      </x:c>
    </x:row>
  </x:sheetData>
  <x:mergeCells>
    <x:mergeCell ref="A1:F1"/>
    <x:mergeCell ref="A2:F2"/>
  </x:mergeCells>
  <x:pageMargins left="0.7" right="0.7" top="0.75" bottom="0.75" header="0.3" footer="0.3"/>
</x:worksheet>
</file>